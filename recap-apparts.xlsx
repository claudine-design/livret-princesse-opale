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écap 22 apparts" sheetId="1" state="visible" r:id="rId1"/>
    <sheet xmlns:r="http://schemas.openxmlformats.org/officeDocument/2006/relationships" name="Historique notes" sheetId="2" state="visible" r:id="rId2"/>
  </sheets>
  <definedNames>
    <definedName name="_xlnm._FilterDatabase" localSheetId="0" hidden="1">'Récap 22 apparts'!$A$1:$AZ$1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rgb="FFFFFFFF"/>
      <sz val="10"/>
    </font>
    <font>
      <name val="Calibri"/>
      <family val="2"/>
      <color theme="10"/>
      <sz val="11"/>
      <u val="single"/>
      <scheme val="minor"/>
    </font>
    <font>
      <name val="Arial"/>
      <family val="2"/>
      <i val="1"/>
      <color rgb="FFC00000"/>
      <sz val="10"/>
    </font>
    <font>
      <name val="Arial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b val="1"/>
      <color rgb="00006100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i val="1"/>
      <sz val="9"/>
    </font>
    <font>
      <b val="1"/>
      <color rgb="00FFFFFF"/>
    </font>
  </fonts>
  <fills count="32">
    <fill>
      <patternFill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CF8F2"/>
        <bgColor indexed="64"/>
      </patternFill>
    </fill>
    <fill>
      <patternFill patternType="solid">
        <fgColor rgb="FFEFF6D6"/>
        <bgColor indexed="64"/>
      </patternFill>
    </fill>
    <fill>
      <patternFill patternType="solid">
        <fgColor rgb="FFEFE8D7"/>
        <bgColor indexed="64"/>
      </patternFill>
    </fill>
    <fill>
      <patternFill patternType="solid">
        <fgColor rgb="FF9FE2C0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F9F5F2"/>
        <bgColor indexed="64"/>
      </patternFill>
    </fill>
    <fill>
      <patternFill patternType="solid">
        <fgColor rgb="FFF7F6F0"/>
        <bgColor indexed="64"/>
      </patternFill>
    </fill>
    <fill>
      <patternFill patternType="solid">
        <fgColor rgb="FFFFCEB3"/>
        <bgColor indexed="64"/>
      </patternFill>
    </fill>
    <fill>
      <patternFill patternType="solid">
        <fgColor rgb="FFFFE4B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AC080"/>
        <bgColor indexed="64"/>
      </patternFill>
    </fill>
    <fill>
      <patternFill patternType="solid">
        <fgColor rgb="FFC8EBC8"/>
        <bgColor indexed="64"/>
      </patternFill>
    </fill>
    <fill>
      <patternFill patternType="solid">
        <fgColor rgb="FFF0D7D7"/>
        <bgColor indexed="64"/>
      </patternFill>
    </fill>
    <fill>
      <patternFill patternType="solid">
        <fgColor rgb="FFC3E6EB"/>
        <bgColor indexed="64"/>
      </patternFill>
    </fill>
    <fill>
      <patternFill patternType="solid">
        <fgColor rgb="FFFFDCC3"/>
        <bgColor indexed="64"/>
      </patternFill>
    </fill>
    <fill>
      <patternFill patternType="solid">
        <fgColor rgb="FFC8DCF5"/>
        <bgColor indexed="64"/>
      </patternFill>
    </fill>
    <fill>
      <patternFill patternType="solid">
        <fgColor rgb="FFFFF0B4"/>
        <bgColor indexed="64"/>
      </patternFill>
    </fill>
    <fill>
      <patternFill patternType="solid">
        <fgColor rgb="FFDCC8E6"/>
        <bgColor indexed="64"/>
      </patternFill>
    </fill>
    <fill>
      <patternFill patternType="solid">
        <fgColor rgb="FFAFDCF5"/>
        <bgColor indexed="64"/>
      </patternFill>
    </fill>
    <fill>
      <patternFill patternType="solid">
        <fgColor rgb="FFD7B9E6"/>
        <bgColor indexed="64"/>
      </patternFill>
    </fill>
    <fill>
      <patternFill patternType="solid">
        <fgColor rgb="FFFFDCDC"/>
        <bgColor indexed="64"/>
      </patternFill>
    </fill>
    <fill>
      <patternFill patternType="solid">
        <fgColor rgb="FFD7F0D7"/>
        <bgColor indexed="64"/>
      </patternFill>
    </fill>
    <fill>
      <patternFill patternType="solid">
        <fgColor rgb="FFFAC8C8"/>
        <bgColor indexed="64"/>
      </patternFill>
    </fill>
    <fill>
      <patternFill patternType="solid">
        <fgColor rgb="FFA8E0A8"/>
        <bgColor indexed="64"/>
      </patternFill>
    </fill>
    <fill>
      <patternFill patternType="solid">
        <fgColor rgb="FFFFD7A5"/>
        <bgColor indexed="64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6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5" borderId="1" applyAlignment="1" pivotButton="0" quotePrefix="0" xfId="1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  <xf numFmtId="0" fontId="1" fillId="11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1" fillId="13" borderId="1" applyAlignment="1" pivotButton="0" quotePrefix="0" xfId="0">
      <alignment horizontal="center" vertical="top"/>
    </xf>
    <xf numFmtId="0" fontId="5" fillId="13" borderId="1" applyAlignment="1" pivotButton="0" quotePrefix="0" xfId="0">
      <alignment horizontal="center" vertical="top"/>
    </xf>
    <xf numFmtId="0" fontId="1" fillId="14" borderId="1" applyAlignment="1" pivotButton="0" quotePrefix="0" xfId="0">
      <alignment vertical="top" wrapText="1"/>
    </xf>
    <xf numFmtId="0" fontId="1" fillId="15" borderId="1" applyAlignment="1" pivotButton="0" quotePrefix="0" xfId="0">
      <alignment vertical="top" wrapText="1"/>
    </xf>
    <xf numFmtId="0" fontId="1" fillId="16" borderId="1" applyAlignment="1" pivotButton="0" quotePrefix="0" xfId="0">
      <alignment vertical="top" wrapText="1"/>
    </xf>
    <xf numFmtId="0" fontId="1" fillId="17" borderId="1" applyAlignment="1" pivotButton="0" quotePrefix="0" xfId="0">
      <alignment vertical="top" wrapText="1"/>
    </xf>
    <xf numFmtId="0" fontId="1" fillId="18" borderId="1" applyAlignment="1" pivotButton="0" quotePrefix="0" xfId="0">
      <alignment vertical="top" wrapText="1"/>
    </xf>
    <xf numFmtId="0" fontId="1" fillId="19" borderId="1" applyAlignment="1" pivotButton="0" quotePrefix="0" xfId="0">
      <alignment vertical="top" wrapText="1"/>
    </xf>
    <xf numFmtId="0" fontId="1" fillId="20" borderId="1" applyAlignment="1" pivotButton="0" quotePrefix="0" xfId="0">
      <alignment vertical="top" wrapText="1"/>
    </xf>
    <xf numFmtId="0" fontId="1" fillId="21" borderId="1" applyAlignment="1" pivotButton="0" quotePrefix="0" xfId="0">
      <alignment vertical="top" wrapText="1"/>
    </xf>
    <xf numFmtId="0" fontId="1" fillId="22" borderId="1" applyAlignment="1" pivotButton="0" quotePrefix="0" xfId="0">
      <alignment vertical="top" wrapText="1"/>
    </xf>
    <xf numFmtId="0" fontId="4" fillId="23" borderId="1" applyAlignment="1" pivotButton="0" quotePrefix="0" xfId="0">
      <alignment horizontal="center" vertical="top"/>
    </xf>
    <xf numFmtId="0" fontId="5" fillId="24" borderId="1" applyAlignment="1" pivotButton="0" quotePrefix="0" xfId="0">
      <alignment horizontal="center" vertical="top"/>
    </xf>
    <xf numFmtId="0" fontId="5" fillId="25" borderId="1" applyAlignment="1" pivotButton="0" quotePrefix="0" xfId="0">
      <alignment horizontal="center" vertical="top"/>
    </xf>
    <xf numFmtId="0" fontId="5" fillId="26" borderId="1" applyAlignment="1" pivotButton="0" quotePrefix="0" xfId="0">
      <alignment horizontal="center" vertical="top"/>
    </xf>
    <xf numFmtId="0" fontId="5" fillId="27" borderId="1" applyAlignment="1" pivotButton="0" quotePrefix="0" xfId="0">
      <alignment horizontal="center" vertical="top"/>
    </xf>
    <xf numFmtId="0" fontId="6" fillId="0" borderId="0" pivotButton="0" quotePrefix="0" xfId="0"/>
    <xf numFmtId="0" fontId="7" fillId="28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 wrapText="1"/>
    </xf>
    <xf numFmtId="0" fontId="9" fillId="29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/>
    </xf>
    <xf numFmtId="0" fontId="10" fillId="30" borderId="2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top" wrapText="1"/>
    </xf>
    <xf numFmtId="0" fontId="9" fillId="29" borderId="2" applyAlignment="1" pivotButton="0" quotePrefix="0" xfId="0">
      <alignment horizontal="center" vertical="center"/>
    </xf>
    <xf numFmtId="0" fontId="10" fillId="3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14" fillId="31" borderId="0" applyAlignment="1" pivotButton="0" quotePrefix="0" xfId="0">
      <alignment horizontal="center"/>
    </xf>
  </cellXfs>
  <cellStyles count="2">
    <cellStyle name="Normal" xfId="0" builtinId="0"/>
    <cellStyle name="Lien hypertexte" xfId="1" builtinId="8"/>
  </cellStyles>
  <dxfs count="6">
    <dxf>
      <fill>
        <patternFill>
          <bgColor rgb="FFFFD7A5"/>
        </patternFill>
      </fill>
    </dxf>
    <dxf>
      <fill>
        <patternFill>
          <bgColor rgb="FFD7F0D7"/>
        </patternFill>
      </fill>
    </dxf>
    <dxf>
      <fill>
        <patternFill>
          <bgColor rgb="FFFAC8C8"/>
        </patternFill>
      </fill>
    </dxf>
    <dxf>
      <fill>
        <patternFill>
          <bgColor rgb="FFFAC8C8"/>
        </patternFill>
      </fill>
    </dxf>
    <dxf>
      <fill>
        <patternFill>
          <bgColor rgb="FFA8E0A8"/>
        </patternFill>
      </fill>
    </dxf>
    <dxf>
      <fill>
        <patternFill>
          <bgColor rgb="FFA8E0A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Evolution notes Airbnb /5</a:t>
            </a:r>
          </a:p>
        </rich>
      </tx>
    </title>
    <plotArea>
      <lineChart>
        <grouping val="standard"/>
        <ser>
          <idx val="0"/>
          <order val="0"/>
          <tx>
            <v>Kitesurf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notes'!$D$2</f>
            </numRef>
          </val>
        </ser>
        <ser>
          <idx val="1"/>
          <order val="1"/>
          <tx>
            <v>Hamac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notes'!$D$3</f>
            </numRef>
          </val>
        </ser>
        <ser>
          <idx val="2"/>
          <order val="2"/>
          <tx>
            <v>Paddle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notes'!$D$4</f>
            </numRef>
          </val>
        </ser>
        <ser>
          <idx val="3"/>
          <order val="3"/>
          <tx>
            <v>Surf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notes'!$D$5</f>
            </numRef>
          </val>
        </ser>
        <ser>
          <idx val="4"/>
          <order val="4"/>
          <tx>
            <v>Famille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notes'!$D$6</f>
            </numRef>
          </val>
        </ser>
        <ser>
          <idx val="5"/>
          <order val="5"/>
          <tx>
            <v>Balnéo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notes'!$D$7</f>
            </numRef>
          </val>
        </ser>
        <ser>
          <idx val="6"/>
          <order val="6"/>
          <tx>
            <v>Cocon Romantique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notes'!$D$8</f>
            </numRef>
          </val>
        </ser>
        <ser>
          <idx val="7"/>
          <order val="7"/>
          <tx>
            <v>Terrasse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notes'!$D$9</f>
            </numRef>
          </val>
        </ser>
        <ser>
          <idx val="8"/>
          <order val="8"/>
          <tx>
            <v>Maisonnette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notes'!$D$10</f>
            </numRef>
          </val>
        </ser>
        <ser>
          <idx val="9"/>
          <order val="9"/>
          <tx>
            <v>Face Mer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notes'!$D$11</f>
            </numRef>
          </val>
        </ser>
        <ser>
          <idx val="10"/>
          <order val="10"/>
          <tx>
            <v>Grand Large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notes'!$D$12</f>
            </numRef>
          </val>
        </ser>
        <ser>
          <idx val="11"/>
          <order val="11"/>
          <tx>
            <v>Apolove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notes'!$D$13</f>
            </numRef>
          </val>
        </ser>
        <ser>
          <idx val="12"/>
          <order val="12"/>
          <tx>
            <v>Apollo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notes'!$D$14</f>
            </numRef>
          </val>
        </ser>
        <ser>
          <idx val="13"/>
          <order val="13"/>
          <tx>
            <v>Kingston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notes'!$D$15</f>
            </numRef>
          </val>
        </ser>
        <ser>
          <idx val="14"/>
          <order val="14"/>
          <tx>
            <v>La Réserve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notes'!$D$16</f>
            </numRef>
          </val>
        </ser>
        <ser>
          <idx val="15"/>
          <order val="15"/>
          <tx>
            <v>Albatros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notes'!$D$17</f>
            </numRef>
          </val>
        </ser>
        <ser>
          <idx val="16"/>
          <order val="16"/>
          <tx>
            <v>Mini Love Room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notes'!$D$18</f>
            </numRef>
          </val>
        </ser>
        <ser>
          <idx val="17"/>
          <order val="17"/>
          <tx>
            <v>Grande Love Room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notes'!$D$19</f>
            </numRef>
          </val>
        </ser>
        <ser>
          <idx val="18"/>
          <order val="18"/>
          <tx>
            <v>Jeanne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notes'!$D$20</f>
            </numRef>
          </val>
        </ser>
        <ser>
          <idx val="19"/>
          <order val="19"/>
          <tx>
            <v>Évasion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notes'!$D$21</f>
            </numRef>
          </val>
        </ser>
        <ser>
          <idx val="20"/>
          <order val="20"/>
          <tx>
            <v>Rotonde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notes'!$D$22</f>
            </numRef>
          </val>
        </ser>
        <ser>
          <idx val="21"/>
          <order val="21"/>
          <tx>
            <v>Patio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notes'!$D$1</f>
            </numRef>
          </cat>
          <val>
            <numRef>
              <f>'Historique notes'!$D$23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Note /5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Evolution notes Booking /10</a:t>
            </a:r>
          </a:p>
        </rich>
      </tx>
    </title>
    <plotArea>
      <lineChart>
        <grouping val="standard"/>
        <ser>
          <idx val="0"/>
          <order val="0"/>
          <tx>
            <v>Kitesurf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notes'!$E$2</f>
            </numRef>
          </val>
        </ser>
        <ser>
          <idx val="1"/>
          <order val="1"/>
          <tx>
            <v>Hamac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notes'!$E$3</f>
            </numRef>
          </val>
        </ser>
        <ser>
          <idx val="2"/>
          <order val="2"/>
          <tx>
            <v>Paddle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notes'!$E$4</f>
            </numRef>
          </val>
        </ser>
        <ser>
          <idx val="3"/>
          <order val="3"/>
          <tx>
            <v>Surf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notes'!$E$5</f>
            </numRef>
          </val>
        </ser>
        <ser>
          <idx val="4"/>
          <order val="4"/>
          <tx>
            <v>Famille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notes'!$E$6</f>
            </numRef>
          </val>
        </ser>
        <ser>
          <idx val="5"/>
          <order val="5"/>
          <tx>
            <v>Balnéo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notes'!$E$7</f>
            </numRef>
          </val>
        </ser>
        <ser>
          <idx val="6"/>
          <order val="6"/>
          <tx>
            <v>Cocon Romantique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notes'!$E$8</f>
            </numRef>
          </val>
        </ser>
        <ser>
          <idx val="7"/>
          <order val="7"/>
          <tx>
            <v>Terrasse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notes'!$E$9</f>
            </numRef>
          </val>
        </ser>
        <ser>
          <idx val="8"/>
          <order val="8"/>
          <tx>
            <v>Maisonnette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notes'!$E$10</f>
            </numRef>
          </val>
        </ser>
        <ser>
          <idx val="9"/>
          <order val="9"/>
          <tx>
            <v>Face Mer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notes'!$E$11</f>
            </numRef>
          </val>
        </ser>
        <ser>
          <idx val="10"/>
          <order val="10"/>
          <tx>
            <v>Grand Large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notes'!$E$12</f>
            </numRef>
          </val>
        </ser>
        <ser>
          <idx val="11"/>
          <order val="11"/>
          <tx>
            <v>Apolove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notes'!$E$13</f>
            </numRef>
          </val>
        </ser>
        <ser>
          <idx val="12"/>
          <order val="12"/>
          <tx>
            <v>Apollo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notes'!$E$14</f>
            </numRef>
          </val>
        </ser>
        <ser>
          <idx val="13"/>
          <order val="13"/>
          <tx>
            <v>Kingston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notes'!$E$15</f>
            </numRef>
          </val>
        </ser>
        <ser>
          <idx val="14"/>
          <order val="14"/>
          <tx>
            <v>La Réserve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notes'!$E$16</f>
            </numRef>
          </val>
        </ser>
        <ser>
          <idx val="15"/>
          <order val="15"/>
          <tx>
            <v>Albatros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notes'!$E$17</f>
            </numRef>
          </val>
        </ser>
        <ser>
          <idx val="16"/>
          <order val="16"/>
          <tx>
            <v>Mini Love Room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notes'!$E$18</f>
            </numRef>
          </val>
        </ser>
        <ser>
          <idx val="17"/>
          <order val="17"/>
          <tx>
            <v>Grande Love Room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notes'!$E$19</f>
            </numRef>
          </val>
        </ser>
        <ser>
          <idx val="18"/>
          <order val="18"/>
          <tx>
            <v>Jeanne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notes'!$E$20</f>
            </numRef>
          </val>
        </ser>
        <ser>
          <idx val="19"/>
          <order val="19"/>
          <tx>
            <v>Évasion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notes'!$E$21</f>
            </numRef>
          </val>
        </ser>
        <ser>
          <idx val="20"/>
          <order val="20"/>
          <tx>
            <v>Rotonde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notes'!$E$22</f>
            </numRef>
          </val>
        </ser>
        <ser>
          <idx val="21"/>
          <order val="21"/>
          <tx>
            <v>Patio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'Historique notes'!$E$1</f>
            </numRef>
          </cat>
          <val>
            <numRef>
              <f>'Historique notes'!$E$23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Note /10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26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yoVLVnDSSuuU90lgiMc3-EHvn3vVVqLv/view" TargetMode="External" Id="rId1"/><Relationship Type="http://schemas.openxmlformats.org/officeDocument/2006/relationships/hyperlink" Target="https://www.youtube.com/watch?v=HVP1-x_L478" TargetMode="External" Id="rId2"/><Relationship Type="http://schemas.openxmlformats.org/officeDocument/2006/relationships/hyperlink" Target="https://www.airbnb.fr/rooms/51014344" TargetMode="External" Id="rId3"/><Relationship Type="http://schemas.openxmlformats.org/officeDocument/2006/relationships/hyperlink" Target="https://www.booking.com/hotel/fr/kitesurf-100m-plage-deco-design.fr.html" TargetMode="External" Id="rId4"/><Relationship Type="http://schemas.openxmlformats.org/officeDocument/2006/relationships/hyperlink" Target="https://drive.google.com/file/d/1FsKU-XGly3eeHe0fYpDQ3sFK3GM3jpBg/view" TargetMode="External" Id="rId5"/><Relationship Type="http://schemas.openxmlformats.org/officeDocument/2006/relationships/hyperlink" Target="https://www.youtube.com/watch?v=HVP1-x_L478" TargetMode="External" Id="rId6"/><Relationship Type="http://schemas.openxmlformats.org/officeDocument/2006/relationships/hyperlink" Target="https://www.airbnb.fr/rooms/50897086" TargetMode="External" Id="rId7"/><Relationship Type="http://schemas.openxmlformats.org/officeDocument/2006/relationships/hyperlink" Target="https://www.booking.com/hotel/fr/hamac-vue-mer-100m-plage.fr.html" TargetMode="External" Id="rId8"/><Relationship Type="http://schemas.openxmlformats.org/officeDocument/2006/relationships/hyperlink" Target="https://drive.google.com/file/d/1lRwnNiII1xYEauzS5ddg6J4jKLQm9uum/view" TargetMode="External" Id="rId9"/><Relationship Type="http://schemas.openxmlformats.org/officeDocument/2006/relationships/hyperlink" Target="https://www.youtube.com/watch?v=HVP1-x_L478" TargetMode="External" Id="rId10"/><Relationship Type="http://schemas.openxmlformats.org/officeDocument/2006/relationships/hyperlink" Target="https://www.airbnb.fr/rooms/50917813" TargetMode="External" Id="rId11"/><Relationship Type="http://schemas.openxmlformats.org/officeDocument/2006/relationships/hyperlink" Target="https://www.booking.com/hotel/fr/paddle-vue-mer-100m-plage.fr.html" TargetMode="External" Id="rId12"/><Relationship Type="http://schemas.openxmlformats.org/officeDocument/2006/relationships/hyperlink" Target="https://www.youtube.com/watch?v=HVP1-x_L478" TargetMode="External" Id="rId13"/><Relationship Type="http://schemas.openxmlformats.org/officeDocument/2006/relationships/hyperlink" Target="https://www.airbnb.fr/rooms/609130331930359937" TargetMode="External" Id="rId14"/><Relationship Type="http://schemas.openxmlformats.org/officeDocument/2006/relationships/hyperlink" Target="https://www.booking.com/hotel/fr/surf-vue-mer-100m-plage.fr.html" TargetMode="External" Id="rId15"/><Relationship Type="http://schemas.openxmlformats.org/officeDocument/2006/relationships/hyperlink" Target="https://www.youtube.com/watch?v=HVP1-x_L478" TargetMode="External" Id="rId16"/><Relationship Type="http://schemas.openxmlformats.org/officeDocument/2006/relationships/hyperlink" Target="https://drive.google.com/file/d/1tc8QjWR0X3tYzfez82oHtJ4DMdQ2uLhw/view" TargetMode="External" Id="rId17"/><Relationship Type="http://schemas.openxmlformats.org/officeDocument/2006/relationships/hyperlink" Target="https://www.youtube.com/watch?v=HVP1-x_L478" TargetMode="External" Id="rId18"/><Relationship Type="http://schemas.openxmlformats.org/officeDocument/2006/relationships/hyperlink" Target="https://www.airbnb.fr/rooms/1616165051672596903" TargetMode="External" Id="rId19"/><Relationship Type="http://schemas.openxmlformats.org/officeDocument/2006/relationships/hyperlink" Target="https://www.youtube.com/watch?v=HVP1-x_L478" TargetMode="External" Id="rId20"/><Relationship Type="http://schemas.openxmlformats.org/officeDocument/2006/relationships/hyperlink" Target="https://www.airbnb.fr/rooms/1663215081899508161" TargetMode="External" Id="rId21"/><Relationship Type="http://schemas.openxmlformats.org/officeDocument/2006/relationships/hyperlink" Target="https://www.booking.com/hotel/fr/cocon-romantique-sauna-balneo-amp-mer-a-100m.fr.html" TargetMode="External" Id="rId22"/><Relationship Type="http://schemas.openxmlformats.org/officeDocument/2006/relationships/hyperlink" Target="https://www.youtube.com/watch?v=HVP1-x_L478" TargetMode="External" Id="rId23"/><Relationship Type="http://schemas.openxmlformats.org/officeDocument/2006/relationships/hyperlink" Target="https://www.airbnb.fr/rooms/43304923" TargetMode="External" Id="rId24"/><Relationship Type="http://schemas.openxmlformats.org/officeDocument/2006/relationships/hyperlink" Target="https://www.booking.com/hotel/fr/grand-appartement-100-m-plage-8-pers-terrasse.fr.html" TargetMode="External" Id="rId25"/><Relationship Type="http://schemas.openxmlformats.org/officeDocument/2006/relationships/hyperlink" Target="https://drive.google.com/file/d/14nBlb8KgwoHIzeLN7z8mi9n9eAP6CuAq/view" TargetMode="External" Id="rId26"/><Relationship Type="http://schemas.openxmlformats.org/officeDocument/2006/relationships/hyperlink" Target="https://www.youtube.com/watch?v=HVP1-x_L478" TargetMode="External" Id="rId27"/><Relationship Type="http://schemas.openxmlformats.org/officeDocument/2006/relationships/hyperlink" Target="https://www.airbnb.fr/rooms/1264610425380619368" TargetMode="External" Id="rId28"/><Relationship Type="http://schemas.openxmlformats.org/officeDocument/2006/relationships/hyperlink" Target="https://www.booking.com/hotel/fr/le-coeur-des-sables-berck.fr.html" TargetMode="External" Id="rId29"/><Relationship Type="http://schemas.openxmlformats.org/officeDocument/2006/relationships/hyperlink" Target="https://www.youtube.com/watch?v=HVP1-x_L478" TargetMode="External" Id="rId30"/><Relationship Type="http://schemas.openxmlformats.org/officeDocument/2006/relationships/hyperlink" Target="https://www.airbnb.fr/rooms/33525870" TargetMode="External" Id="rId31"/><Relationship Type="http://schemas.openxmlformats.org/officeDocument/2006/relationships/hyperlink" Target="https://www.booking.com/hotel/fr/face-mer-centre-de-l-39-esplanade.fr.html" TargetMode="External" Id="rId32"/><Relationship Type="http://schemas.openxmlformats.org/officeDocument/2006/relationships/hyperlink" Target="https://drive.google.com/file/d/1yT8uTNvdaBE5eM7y-VJIBBW5zskDZLfD/view" TargetMode="External" Id="rId33"/><Relationship Type="http://schemas.openxmlformats.org/officeDocument/2006/relationships/hyperlink" Target="https://www.youtube.com/watch?v=HVP1-x_L478" TargetMode="External" Id="rId34"/><Relationship Type="http://schemas.openxmlformats.org/officeDocument/2006/relationships/hyperlink" Target="https://www.airbnb.fr/rooms/856476288197321310" TargetMode="External" Id="rId35"/><Relationship Type="http://schemas.openxmlformats.org/officeDocument/2006/relationships/hyperlink" Target="https://www.booking.com/hotel/fr/hamac-face-mer.fr.html" TargetMode="External" Id="rId36"/><Relationship Type="http://schemas.openxmlformats.org/officeDocument/2006/relationships/hyperlink" Target="https://drive.google.com/file/d/1AFgKVhahrxvljkL7vVa8ZU1-zA0BgHwo/view" TargetMode="External" Id="rId37"/><Relationship Type="http://schemas.openxmlformats.org/officeDocument/2006/relationships/hyperlink" Target="https://www.youtube.com/watch?v=HVP1-x_L478" TargetMode="External" Id="rId38"/><Relationship Type="http://schemas.openxmlformats.org/officeDocument/2006/relationships/hyperlink" Target="https://www.youtube.com/watch?v=HVP1-x_L478" TargetMode="External" Id="rId39"/><Relationship Type="http://schemas.openxmlformats.org/officeDocument/2006/relationships/hyperlink" Target="https://www.airbnb.fr/rooms/1136655909198126906" TargetMode="External" Id="rId40"/><Relationship Type="http://schemas.openxmlformats.org/officeDocument/2006/relationships/hyperlink" Target="https://www.youtube.com/watch?v=HVP1-x_L478" TargetMode="External" Id="rId41"/><Relationship Type="http://schemas.openxmlformats.org/officeDocument/2006/relationships/hyperlink" Target="https://www.airbnb.fr/rooms/1591467726367391456" TargetMode="External" Id="rId42"/><Relationship Type="http://schemas.openxmlformats.org/officeDocument/2006/relationships/hyperlink" Target="https://www.booking.com/hotel/fr/face-mer-parking-rez-de-chausse.fr.html" TargetMode="External" Id="rId43"/><Relationship Type="http://schemas.openxmlformats.org/officeDocument/2006/relationships/hyperlink" Target="https://www.youtube.com/watch?v=HVP1-x_L478" TargetMode="External" Id="rId44"/><Relationship Type="http://schemas.openxmlformats.org/officeDocument/2006/relationships/hyperlink" Target="https://drive.google.com/file/d/1IBQUDOQNG4ENcgeAtUPYJInJFTUpWpgM/view" TargetMode="External" Id="rId45"/><Relationship Type="http://schemas.openxmlformats.org/officeDocument/2006/relationships/hyperlink" Target="https://www.youtube.com/watch?v=HVP1-x_L478" TargetMode="External" Id="rId46"/><Relationship Type="http://schemas.openxmlformats.org/officeDocument/2006/relationships/hyperlink" Target="https://www.airbnb.fr/rooms/1052856835096858895" TargetMode="External" Id="rId47"/><Relationship Type="http://schemas.openxmlformats.org/officeDocument/2006/relationships/hyperlink" Target="https://www.booking.com/hotel/fr/hamac-chic-vue-mer.fr.html" TargetMode="External" Id="rId48"/><Relationship Type="http://schemas.openxmlformats.org/officeDocument/2006/relationships/hyperlink" Target="https://drive.google.com/file/d/1AWX2lXeXVBwGkngMM33dsRWiLXG1nny_/view" TargetMode="External" Id="rId49"/><Relationship Type="http://schemas.openxmlformats.org/officeDocument/2006/relationships/hyperlink" Target="https://www.youtube.com/watch?v=HVP1-x_L478" TargetMode="External" Id="rId50"/><Relationship Type="http://schemas.openxmlformats.org/officeDocument/2006/relationships/hyperlink" Target="https://www.airbnb.fr/rooms/1460343641550739266" TargetMode="External" Id="rId51"/><Relationship Type="http://schemas.openxmlformats.org/officeDocument/2006/relationships/hyperlink" Target="https://www.booking.com/hotel/fr/balneo-face-mer.fr.html" TargetMode="External" Id="rId52"/><Relationship Type="http://schemas.openxmlformats.org/officeDocument/2006/relationships/hyperlink" Target="https://www.youtube.com/watch?v=HVP1-x_L478" TargetMode="External" Id="rId53"/><Relationship Type="http://schemas.openxmlformats.org/officeDocument/2006/relationships/hyperlink" Target="https://www.airbnb.fr/rooms/1395729680157024554" TargetMode="External" Id="rId54"/><Relationship Type="http://schemas.openxmlformats.org/officeDocument/2006/relationships/hyperlink" Target="https://www.booking.com/hotel/fr/romantique-face-mer.fr.html" TargetMode="External" Id="rId55"/><Relationship Type="http://schemas.openxmlformats.org/officeDocument/2006/relationships/hyperlink" Target="https://drive.google.com/file/d/1cQR6Hv6br1B7-VEVXDFCPFT_Z3H7OL75/view" TargetMode="External" Id="rId56"/><Relationship Type="http://schemas.openxmlformats.org/officeDocument/2006/relationships/hyperlink" Target="https://www.youtube.com/watch?v=HVP1-x_L478" TargetMode="External" Id="rId57"/><Relationship Type="http://schemas.openxmlformats.org/officeDocument/2006/relationships/hyperlink" Target="https://www.airbnb.fr/rooms/1351633825991628744" TargetMode="External" Id="rId58"/><Relationship Type="http://schemas.openxmlformats.org/officeDocument/2006/relationships/hyperlink" Target="https://www.booking.com/hotel/fr/150m-plage-coeur-de-berck.fr.html" TargetMode="External" Id="rId59"/><Relationship Type="http://schemas.openxmlformats.org/officeDocument/2006/relationships/hyperlink" Target="https://drive.google.com/file/d/1UGxYQjz06UbgdcJZw5Zn0lZ0a_AmTa0j/view" TargetMode="External" Id="rId60"/><Relationship Type="http://schemas.openxmlformats.org/officeDocument/2006/relationships/hyperlink" Target="https://www.youtube.com/watch?v=HVP1-x_L478" TargetMode="External" Id="rId61"/><Relationship Type="http://schemas.openxmlformats.org/officeDocument/2006/relationships/hyperlink" Target="https://www.airbnb.fr/rooms/1646951238424869691" TargetMode="External" Id="rId62"/><Relationship Type="http://schemas.openxmlformats.org/officeDocument/2006/relationships/hyperlink" Target="https://www.booking.com/hotel/fr/evasion-balneo-et-sauna-150m-plage.fr.html" TargetMode="External" Id="rId63"/><Relationship Type="http://schemas.openxmlformats.org/officeDocument/2006/relationships/hyperlink" Target="https://www.youtube.com/watch?v=HVP1-x_L478" TargetMode="External" Id="rId64"/><Relationship Type="http://schemas.openxmlformats.org/officeDocument/2006/relationships/hyperlink" Target="https://www.airbnb.fr/rooms/1616630438837889427" TargetMode="External" Id="rId65"/><Relationship Type="http://schemas.openxmlformats.org/officeDocument/2006/relationships/hyperlink" Target="https://www.booking.com/hotel/fr/la-rotonde-du-bien-etre-150m-plage-coeur-de-berck.fr.html" TargetMode="External" Id="rId66"/><Relationship Type="http://schemas.openxmlformats.org/officeDocument/2006/relationships/hyperlink" Target="https://drive.google.com/file/d/1DcKUvgC95o72FmCf8Wc-KeCE-chpgV4I/view" TargetMode="External" Id="rId67"/><Relationship Type="http://schemas.openxmlformats.org/officeDocument/2006/relationships/hyperlink" Target="https://www.youtube.com/watch?v=HVP1-x_L478" TargetMode="External" Id="rId68"/><Relationship Type="http://schemas.openxmlformats.org/officeDocument/2006/relationships/hyperlink" Target="https://www.airbnb.fr/rooms/1480628708594103144" TargetMode="External" Id="rId69"/><Relationship Type="http://schemas.openxmlformats.org/officeDocument/2006/relationships/hyperlink" Target="https://www.booking.com/hotel/fr/romantique-chic-150m-plage-patio.fr.html" TargetMode="External" Id="rId7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"/>
  <sheetViews>
    <sheetView tabSelected="1" zoomScale="90" zoomScaleNormal="90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A1" sqref="A1"/>
    </sheetView>
  </sheetViews>
  <sheetFormatPr baseColWidth="10" defaultRowHeight="14.5"/>
  <cols>
    <col width="4.6328125" customWidth="1" min="1" max="1"/>
    <col width="14.6328125" customWidth="1" min="2" max="2"/>
    <col width="16.6328125" customWidth="1" min="3" max="3"/>
    <col width="22.6328125" customWidth="1" min="4" max="4"/>
    <col width="36.6328125" customWidth="1" min="5" max="5"/>
    <col width="12.6328125" customWidth="1" min="6" max="7"/>
    <col width="11.6328125" customWidth="1" min="8" max="9"/>
    <col width="50.6328125" customWidth="1" min="10" max="10"/>
    <col width="22.6328125" customWidth="1" min="11" max="11"/>
    <col width="9.6328125" customWidth="1" min="12" max="12"/>
    <col width="50.6328125" customWidth="1" min="13" max="13"/>
    <col width="22.6328125" customWidth="1" min="14" max="15"/>
    <col width="16.6328125" customWidth="1" min="16" max="16"/>
    <col width="30.6328125" customWidth="1" min="17" max="17"/>
    <col width="16.6328125" customWidth="1" min="18" max="18"/>
    <col width="8.6328125" customWidth="1" min="19" max="19"/>
    <col width="11.6328125" customWidth="1" min="20" max="20"/>
    <col width="50.6328125" customWidth="1" min="21" max="21"/>
    <col width="28.6328125" customWidth="1" min="22" max="22"/>
    <col width="11.6328125" customWidth="1" min="23" max="23"/>
    <col width="14.6328125" customWidth="1" min="24" max="24"/>
    <col width="10.6328125" customWidth="1" min="25" max="25"/>
    <col width="9.6328125" customWidth="1" min="26" max="26"/>
    <col width="30.6328125" customWidth="1" min="27" max="27"/>
    <col width="12.6328125" customWidth="1" min="28" max="28"/>
    <col width="18.6328125" customWidth="1" min="29" max="29"/>
    <col width="10.6328125" customWidth="1" min="30" max="31"/>
    <col width="18.6328125" customWidth="1" min="32" max="32"/>
    <col width="9.6328125" customWidth="1" min="33" max="33"/>
    <col width="18.6328125" customWidth="1" min="34" max="34"/>
    <col width="22.6328125" customWidth="1" min="35" max="35"/>
    <col width="9.6328125" customWidth="1" min="36" max="36"/>
    <col width="14.6328125" customWidth="1" min="37" max="37"/>
    <col width="30.6328125" customWidth="1" min="38" max="38"/>
    <col width="18.6328125" customWidth="1" min="39" max="39"/>
    <col width="26.6328125" customWidth="1" min="40" max="40"/>
    <col width="14.6328125" customWidth="1" min="41" max="42"/>
    <col width="28.6328125" customWidth="1" min="43" max="43"/>
    <col width="8.6328125" customWidth="1" min="44" max="44"/>
    <col width="60.6328125" customWidth="1" min="45" max="45"/>
    <col width="11.6328125" customWidth="1" min="46" max="46"/>
    <col width="18.6328125" customWidth="1" min="47" max="47"/>
    <col width="14.6328125" customWidth="1" min="48" max="50"/>
    <col width="13.6328125" customWidth="1" min="51" max="52"/>
    <col width="82.26953125" bestFit="1" customWidth="1" min="53" max="53"/>
    <col width="55" customWidth="1" min="54" max="54"/>
    <col width="55" customWidth="1" min="55" max="55"/>
    <col width="14" customWidth="1" min="56" max="56"/>
    <col width="11" customWidth="1" min="57" max="57"/>
    <col width="14" customWidth="1" min="58" max="58"/>
    <col width="11" customWidth="1" min="59" max="59"/>
    <col width="18" customWidth="1" min="60" max="60"/>
  </cols>
  <sheetData>
    <row r="1" ht="38" customHeight="1">
      <c r="A1" s="1" t="inlineStr">
        <is>
          <t>#</t>
        </is>
      </c>
      <c r="B1" s="1" t="inlineStr">
        <is>
          <t>Slug</t>
        </is>
      </c>
      <c r="C1" s="1" t="inlineStr">
        <is>
          <t>Nom court</t>
        </is>
      </c>
      <c r="D1" s="1" t="inlineStr">
        <is>
          <t>Nom commercial (site)</t>
        </is>
      </c>
      <c r="E1" s="1" t="inlineStr">
        <is>
          <t>Adresse</t>
        </is>
      </c>
      <c r="F1" s="1" t="inlineStr">
        <is>
          <t>Résidence</t>
        </is>
      </c>
      <c r="G1" s="1" t="inlineStr">
        <is>
          <t>Zone</t>
        </is>
      </c>
      <c r="H1" s="1" t="inlineStr">
        <is>
          <t>Type logement</t>
        </is>
      </c>
      <c r="I1" s="1" t="inlineStr">
        <is>
          <t>Surface</t>
        </is>
      </c>
      <c r="J1" s="1" t="inlineStr">
        <is>
          <t>Couchages</t>
        </is>
      </c>
      <c r="K1" s="1" t="inlineStr">
        <is>
          <t>Étage</t>
        </is>
      </c>
      <c r="L1" s="1" t="inlineStr">
        <is>
          <t>Ascenseur</t>
        </is>
      </c>
      <c r="M1" s="1" t="inlineStr">
        <is>
          <t>Parking</t>
        </is>
      </c>
      <c r="N1" s="1" t="inlineStr">
        <is>
          <t>Vidéo accès</t>
        </is>
      </c>
      <c r="O1" s="1" t="inlineStr">
        <is>
          <t>Vidéo parking</t>
        </is>
      </c>
      <c r="P1" s="1" t="inlineStr">
        <is>
          <t>Plaque cuisson</t>
        </is>
      </c>
      <c r="Q1" s="1" t="inlineStr">
        <is>
          <t>Frigo / Congélation</t>
        </is>
      </c>
      <c r="R1" s="1" t="inlineStr">
        <is>
          <t>Cafetière</t>
        </is>
      </c>
      <c r="S1" s="1" t="inlineStr">
        <is>
          <t>Bouilloire</t>
        </is>
      </c>
      <c r="T1" s="1" t="inlineStr">
        <is>
          <t>Grille-pain</t>
        </is>
      </c>
      <c r="U1" s="1" t="inlineStr">
        <is>
          <t>Vaisselle complète</t>
        </is>
      </c>
      <c r="V1" s="1" t="inlineStr">
        <is>
          <t>Savon + shampoing hypoallergénique</t>
        </is>
      </c>
      <c r="W1" s="1" t="inlineStr">
        <is>
          <t>Lave-linge</t>
        </is>
      </c>
      <c r="X1" s="1" t="inlineStr">
        <is>
          <t>Lave-vaisselle</t>
        </is>
      </c>
      <c r="Y1" s="1" t="inlineStr">
        <is>
          <t>Baignoire</t>
        </is>
      </c>
      <c r="Z1" s="1" t="inlineStr">
        <is>
          <t>Douche</t>
        </is>
      </c>
      <c r="AA1" s="1" t="inlineStr">
        <is>
          <t>Balnéo Spalina</t>
        </is>
      </c>
      <c r="AB1" s="1" t="inlineStr">
        <is>
          <t>Sauna</t>
        </is>
      </c>
      <c r="AC1" s="1" t="inlineStr">
        <is>
          <t>Balcon / Terrasse</t>
        </is>
      </c>
      <c r="AD1" s="1" t="inlineStr">
        <is>
          <t>Brasero</t>
        </is>
      </c>
      <c r="AE1" s="1" t="inlineStr">
        <is>
          <t>Barbecue</t>
        </is>
      </c>
      <c r="AF1" s="1" t="inlineStr">
        <is>
          <t>TV</t>
        </is>
      </c>
      <c r="AG1" s="1" t="inlineStr">
        <is>
          <t>Nb télécommandes</t>
        </is>
      </c>
      <c r="AH1" s="1" t="inlineStr">
        <is>
          <t>WiFi réseau</t>
        </is>
      </c>
      <c r="AI1" s="1" t="inlineStr">
        <is>
          <t>WiFi mot de passe</t>
        </is>
      </c>
      <c r="AJ1" s="1" t="inlineStr">
        <is>
          <t>Tarif check-in/out</t>
        </is>
      </c>
      <c r="AK1" s="1" t="inlineStr">
        <is>
          <t>Linge inclus</t>
        </is>
      </c>
      <c r="AL1" s="1" t="inlineStr">
        <is>
          <t>Pack lit simple</t>
        </is>
      </c>
      <c r="AM1" s="1" t="inlineStr">
        <is>
          <t>Chiens</t>
        </is>
      </c>
      <c r="AN1" s="1" t="inlineStr">
        <is>
          <t>Lit bébé / chaise haute</t>
        </is>
      </c>
      <c r="AO1" s="1" t="inlineStr">
        <is>
          <t>Palier Le 23</t>
        </is>
      </c>
      <c r="AP1" s="1" t="inlineStr">
        <is>
          <t>Prestataire ménage</t>
        </is>
      </c>
      <c r="AQ1" s="1" t="inlineStr">
        <is>
          <t>Entité juridique</t>
        </is>
      </c>
      <c r="AR1" s="1" t="inlineStr">
        <is>
          <t>Photos disponibles</t>
        </is>
      </c>
      <c r="AS1" s="1" t="inlineStr">
        <is>
          <t>Poubelles &amp; tri</t>
        </is>
      </c>
      <c r="AT1" s="1" t="inlineStr">
        <is>
          <t>Caution (€)</t>
        </is>
      </c>
      <c r="AU1" s="1" t="inlineStr">
        <is>
          <t>Niveau</t>
        </is>
      </c>
      <c r="AV1" s="1" t="inlineStr">
        <is>
          <t>Check-in anticipé (€)</t>
        </is>
      </c>
      <c r="AW1" s="1" t="inlineStr">
        <is>
          <t>Check-out tardif (€)</t>
        </is>
      </c>
      <c r="AX1" s="1" t="inlineStr">
        <is>
          <t>Pack linge (€) si non fourni</t>
        </is>
      </c>
      <c r="AY1" s="1" t="inlineStr">
        <is>
          <t>Linge fourni gratuit ?</t>
        </is>
      </c>
      <c r="AZ1" s="1" t="inlineStr">
        <is>
          <t>Tarif animal (€/séjour)</t>
        </is>
      </c>
      <c r="BA1" s="29" t="inlineStr">
        <is>
          <t>Lien checklist menage (QR code)</t>
        </is>
      </c>
      <c r="BB1" s="30" t="inlineStr">
        <is>
          <t>URL Airbnb</t>
        </is>
      </c>
      <c r="BC1" s="30" t="inlineStr">
        <is>
          <t>URL Booking</t>
        </is>
      </c>
      <c r="BD1" s="30" t="inlineStr">
        <is>
          <t>Note Airbnb /5</t>
        </is>
      </c>
      <c r="BE1" s="30" t="inlineStr">
        <is>
          <t>Avis Airbnb</t>
        </is>
      </c>
      <c r="BF1" s="30" t="inlineStr">
        <is>
          <t>Note Booking /10</t>
        </is>
      </c>
      <c r="BG1" s="30" t="inlineStr">
        <is>
          <t>Avis Booking</t>
        </is>
      </c>
      <c r="BH1" s="30" t="inlineStr">
        <is>
          <t>Prime mai 2026 (€)</t>
        </is>
      </c>
    </row>
    <row r="2" ht="87.5" customHeight="1">
      <c r="A2" s="15" t="n">
        <v>1</v>
      </c>
      <c r="B2" s="15" t="inlineStr">
        <is>
          <t>kitesurf</t>
        </is>
      </c>
      <c r="C2" s="15" t="inlineStr">
        <is>
          <t>Kitesurf</t>
        </is>
      </c>
      <c r="D2" s="15" t="inlineStr">
        <is>
          <t>Kitesurf</t>
        </is>
      </c>
      <c r="E2" s="15" t="inlineStr">
        <is>
          <t>23 rue Maréchal Juin, 62600 Berck</t>
        </is>
      </c>
      <c r="F2" s="15" t="inlineStr">
        <is>
          <t>Le 23</t>
        </is>
      </c>
      <c r="G2" s="2" t="inlineStr">
        <is>
          <t>marechal</t>
        </is>
      </c>
      <c r="H2" s="2" t="inlineStr">
        <is>
          <t>T2</t>
        </is>
      </c>
      <c r="I2" s="3" t="inlineStr">
        <is>
          <t>34 m²</t>
        </is>
      </c>
      <c r="J2" s="3" t="inlineStr">
        <is>
          <t>4 couchages · chambre 160×200 · canapé gigogne 2×(90×190)</t>
        </is>
      </c>
      <c r="K2" s="3" t="inlineStr">
        <is>
          <t>2e étage</t>
        </is>
      </c>
      <c r="L2" s="3" t="inlineStr">
        <is>
          <t>Non</t>
        </is>
      </c>
      <c r="M2" s="3" t="inlineStr">
        <is>
          <t>Dans la rue</t>
        </is>
      </c>
      <c r="N2" s="4" t="inlineStr">
        <is>
          <t>Voir la vidéo</t>
        </is>
      </c>
      <c r="O2" s="4" t="inlineStr">
        <is>
          <t>Voir la vidéo</t>
        </is>
      </c>
      <c r="P2" s="5" t="inlineStr">
        <is>
          <t>Vitro-céramique</t>
        </is>
      </c>
      <c r="Q2" s="5" t="inlineStr">
        <is>
          <t>Compartiment freezer</t>
        </is>
      </c>
      <c r="R2" s="5" t="inlineStr">
        <is>
          <t>Senseo + filtre</t>
        </is>
      </c>
      <c r="S2" s="5" t="inlineStr">
        <is>
          <t>Oui</t>
        </is>
      </c>
      <c r="T2" s="5" t="inlineStr">
        <is>
          <t>Oui</t>
        </is>
      </c>
      <c r="U2" s="5" t="inlineStr">
        <is>
          <t>Oui (assiettes, verres, casserole, poêle, plat à tarte)</t>
        </is>
      </c>
      <c r="V2" s="6" t="inlineStr">
        <is>
          <t>Oui (hypoallergénique, OK enfants)</t>
        </is>
      </c>
      <c r="W2" s="6" t="inlineStr">
        <is>
          <t>Oui</t>
        </is>
      </c>
      <c r="X2" s="6" t="inlineStr">
        <is>
          <t>Oui</t>
        </is>
      </c>
      <c r="Y2" s="6" t="inlineStr">
        <is>
          <t>Non</t>
        </is>
      </c>
      <c r="Z2" s="6" t="inlineStr">
        <is>
          <t>Oui</t>
        </is>
      </c>
      <c r="AA2" s="6" t="inlineStr">
        <is>
          <t>Non</t>
        </is>
      </c>
      <c r="AB2" s="3" t="inlineStr">
        <is>
          <t>Non</t>
        </is>
      </c>
      <c r="AC2" s="3" t="inlineStr">
        <is>
          <t>Non</t>
        </is>
      </c>
      <c r="AD2" s="3" t="inlineStr">
        <is>
          <t>Non</t>
        </is>
      </c>
      <c r="AE2" s="3" t="inlineStr">
        <is>
          <t>Non</t>
        </is>
      </c>
      <c r="AF2" s="3" t="inlineStr">
        <is>
          <t>Molotov standard</t>
        </is>
      </c>
      <c r="AG2" s="3" t="n">
        <v>2</v>
      </c>
      <c r="AH2" s="7" t="inlineStr">
        <is>
          <t>Livebox-5B80</t>
        </is>
      </c>
      <c r="AI2" s="7" t="inlineStr">
        <is>
          <t>JHpXmzKUYcpbbc5cx5</t>
        </is>
      </c>
      <c r="AJ2" s="8" t="n">
        <v>15</v>
      </c>
      <c r="AK2" s="8" t="inlineStr">
        <is>
          <t>Non (en option)</t>
        </is>
      </c>
      <c r="AL2" s="8" t="inlineStr">
        <is>
          <t>Oui</t>
        </is>
      </c>
      <c r="AM2" s="8" t="inlineStr">
        <is>
          <t>Oui (sur demande)</t>
        </is>
      </c>
      <c r="AN2" s="8" t="inlineStr">
        <is>
          <t>Non</t>
        </is>
      </c>
      <c r="AO2" s="9" t="inlineStr">
        <is>
          <t>Oui</t>
        </is>
      </c>
      <c r="AP2" s="9" t="inlineStr">
        <is>
          <t>Rémi</t>
        </is>
      </c>
      <c r="AQ2" s="9" t="inlineStr">
        <is>
          <t>LMP</t>
        </is>
      </c>
      <c r="AR2" s="9" t="n">
        <v>2</v>
      </c>
      <c r="AS2" s="10" t="inlineStr">
        <is>
          <t>Lieu : Containers de rue à l'intersection avec l'avenue du Général de Gaulle, juste à la sortie de l'Hôpital Maritime_x000D_
Chemin : En sortant : à gauche → tout droit jusqu'au bout de la rue → 2ème à gauche (rue du Dr Victor Ménard)_x000D_
Distance : ~250 m, 2-3 min à pied_x000D_
Bacs : Jaune (emballages, plastiques, papiers) + Noir (ordures ménagères)</t>
        </is>
      </c>
      <c r="AT2" s="13" t="n">
        <v>300</v>
      </c>
      <c r="AU2" s="13" t="inlineStr">
        <is>
          <t>Standard</t>
        </is>
      </c>
      <c r="AV2" s="24" t="inlineStr">
        <is>
          <t>À définir</t>
        </is>
      </c>
      <c r="AW2" s="24" t="inlineStr">
        <is>
          <t>À définir</t>
        </is>
      </c>
      <c r="AX2" s="25" t="n">
        <v>15</v>
      </c>
      <c r="AY2" s="26" t="inlineStr">
        <is>
          <t>NON</t>
        </is>
      </c>
      <c r="AZ2" s="28" t="n">
        <v>20</v>
      </c>
      <c r="BA2" t="inlineStr">
        <is>
          <t>https://claudine-design.github.io/enquete-berck/checklist-menage/?appart=kitesurf</t>
        </is>
      </c>
      <c r="BB2" s="61" t="inlineStr">
        <is>
          <t>https://www.airbnb.fr/rooms/51014344</t>
        </is>
      </c>
      <c r="BC2" s="61" t="inlineStr">
        <is>
          <t>https://www.booking.com/hotel/fr/kitesurf-100m-plage-deco-design.fr.html</t>
        </is>
      </c>
      <c r="BD2" s="32" t="n">
        <v>4.78</v>
      </c>
      <c r="BE2" s="32" t="n">
        <v>89</v>
      </c>
      <c r="BF2" s="33" t="n">
        <v>9</v>
      </c>
      <c r="BG2" s="32" t="n">
        <v>83</v>
      </c>
      <c r="BH2" s="33">
        <f>IF(AND(ISNUMBER(BD2),BD2&gt;=4.9),20,0)+IF(AND(ISNUMBER(BF2),BF2&gt;=9.0),20,0)</f>
        <v/>
      </c>
    </row>
    <row r="3" ht="87.5" customHeight="1">
      <c r="A3" s="15" t="n">
        <v>2</v>
      </c>
      <c r="B3" s="15" t="inlineStr">
        <is>
          <t>hamac</t>
        </is>
      </c>
      <c r="C3" s="15" t="inlineStr">
        <is>
          <t>Hamac</t>
        </is>
      </c>
      <c r="D3" s="15" t="inlineStr">
        <is>
          <t>Hamac</t>
        </is>
      </c>
      <c r="E3" s="15" t="inlineStr">
        <is>
          <t>23 rue Maréchal Juin, 62600 Berck</t>
        </is>
      </c>
      <c r="F3" s="15" t="inlineStr">
        <is>
          <t>Le 23</t>
        </is>
      </c>
      <c r="G3" s="2" t="inlineStr">
        <is>
          <t>marechal</t>
        </is>
      </c>
      <c r="H3" s="2" t="inlineStr">
        <is>
          <t>T2</t>
        </is>
      </c>
      <c r="I3" s="3" t="inlineStr">
        <is>
          <t>35 m²</t>
        </is>
      </c>
      <c r="J3" s="3" t="inlineStr">
        <is>
          <t>4 couchages · chambre 160×200 · canapé convertible 140×190</t>
        </is>
      </c>
      <c r="K3" s="3" t="inlineStr">
        <is>
          <t>2e étage</t>
        </is>
      </c>
      <c r="L3" s="3" t="inlineStr">
        <is>
          <t>Non</t>
        </is>
      </c>
      <c r="M3" s="3" t="inlineStr">
        <is>
          <t>Dans la rue</t>
        </is>
      </c>
      <c r="N3" s="4" t="inlineStr">
        <is>
          <t>Voir la vidéo</t>
        </is>
      </c>
      <c r="O3" s="4" t="inlineStr">
        <is>
          <t>Voir la vidéo</t>
        </is>
      </c>
      <c r="P3" s="5" t="inlineStr">
        <is>
          <t>Vitro-céramique</t>
        </is>
      </c>
      <c r="Q3" s="5" t="inlineStr">
        <is>
          <t>Compartiment freezer</t>
        </is>
      </c>
      <c r="R3" s="5" t="inlineStr">
        <is>
          <t>Senseo + filtre</t>
        </is>
      </c>
      <c r="S3" s="5" t="inlineStr">
        <is>
          <t>Oui</t>
        </is>
      </c>
      <c r="T3" s="5" t="inlineStr">
        <is>
          <t>Oui</t>
        </is>
      </c>
      <c r="U3" s="5" t="inlineStr">
        <is>
          <t>Oui (assiettes, verres, casserole, poêle, plat à tarte)</t>
        </is>
      </c>
      <c r="V3" s="6" t="inlineStr">
        <is>
          <t>Oui (hypoallergénique, OK enfants)</t>
        </is>
      </c>
      <c r="W3" s="6" t="inlineStr">
        <is>
          <t>Oui</t>
        </is>
      </c>
      <c r="X3" s="6" t="inlineStr">
        <is>
          <t>Oui</t>
        </is>
      </c>
      <c r="Y3" s="6" t="inlineStr">
        <is>
          <t>Non</t>
        </is>
      </c>
      <c r="Z3" s="6" t="inlineStr">
        <is>
          <t>Oui</t>
        </is>
      </c>
      <c r="AA3" s="6" t="inlineStr">
        <is>
          <t>Non</t>
        </is>
      </c>
      <c r="AB3" s="3" t="inlineStr">
        <is>
          <t>Non</t>
        </is>
      </c>
      <c r="AC3" s="3" t="inlineStr">
        <is>
          <t>Oui</t>
        </is>
      </c>
      <c r="AD3" s="3" t="inlineStr">
        <is>
          <t>Non</t>
        </is>
      </c>
      <c r="AE3" s="3" t="inlineStr">
        <is>
          <t>Non</t>
        </is>
      </c>
      <c r="AF3" s="3" t="inlineStr">
        <is>
          <t>Molotov standard</t>
        </is>
      </c>
      <c r="AG3" s="3" t="n">
        <v>2</v>
      </c>
      <c r="AH3" s="7" t="inlineStr">
        <is>
          <t>TP LINK E2E4</t>
        </is>
      </c>
      <c r="AI3" s="7" t="n">
        <v>40803500</v>
      </c>
      <c r="AJ3" s="8" t="n">
        <v>15</v>
      </c>
      <c r="AK3" s="8" t="inlineStr">
        <is>
          <t>Non (en option)</t>
        </is>
      </c>
      <c r="AL3" s="8" t="inlineStr">
        <is>
          <t>Non (lit double + canapé-lit)</t>
        </is>
      </c>
      <c r="AM3" s="8" t="inlineStr">
        <is>
          <t>Oui (sur demande)</t>
        </is>
      </c>
      <c r="AN3" s="8" t="inlineStr">
        <is>
          <t>Non</t>
        </is>
      </c>
      <c r="AO3" s="9" t="inlineStr">
        <is>
          <t>Oui</t>
        </is>
      </c>
      <c r="AP3" s="9" t="inlineStr">
        <is>
          <t>Rémi</t>
        </is>
      </c>
      <c r="AQ3" s="9" t="inlineStr">
        <is>
          <t>LMP</t>
        </is>
      </c>
      <c r="AR3" s="9" t="n">
        <v>0</v>
      </c>
      <c r="AS3" s="10" t="inlineStr">
        <is>
          <t>Lieu : Containers de rue à l'intersection avec l'avenue du Général de Gaulle, juste à la sortie de l'Hôpital Maritime_x000D_
Chemin : En sortant : à gauche → tout droit jusqu'au bout de la rue → 2ème à gauche (rue du Dr Victor Ménard)_x000D_
Distance : ~250 m, 2-3 min à pied_x000D_
Bacs : Jaune (emballages, plastiques, papiers) + Noir (ordures ménagères)</t>
        </is>
      </c>
      <c r="AT3" s="13" t="n">
        <v>300</v>
      </c>
      <c r="AU3" s="13" t="inlineStr">
        <is>
          <t>Standard</t>
        </is>
      </c>
      <c r="AV3" s="24" t="inlineStr">
        <is>
          <t>À définir</t>
        </is>
      </c>
      <c r="AW3" s="24" t="inlineStr">
        <is>
          <t>À définir</t>
        </is>
      </c>
      <c r="AX3" s="25" t="n">
        <v>15</v>
      </c>
      <c r="AY3" s="26" t="inlineStr">
        <is>
          <t>NON</t>
        </is>
      </c>
      <c r="AZ3" s="28" t="n">
        <v>20</v>
      </c>
      <c r="BA3" t="inlineStr">
        <is>
          <t>https://claudine-design.github.io/enquete-berck/checklist-menage/?appart=hamac</t>
        </is>
      </c>
      <c r="BB3" s="61" t="inlineStr">
        <is>
          <t>https://www.airbnb.fr/rooms/50897086</t>
        </is>
      </c>
      <c r="BC3" s="61" t="inlineStr">
        <is>
          <t>https://www.booking.com/hotel/fr/hamac-vue-mer-100m-plage.fr.html</t>
        </is>
      </c>
      <c r="BD3" s="32" t="n">
        <v>4.81</v>
      </c>
      <c r="BE3" s="32" t="n">
        <v>157</v>
      </c>
      <c r="BF3" s="32" t="n">
        <v>8.5</v>
      </c>
      <c r="BG3" s="32" t="n">
        <v>55</v>
      </c>
      <c r="BH3" s="32">
        <f>IF(AND(ISNUMBER(BD3),BD3&gt;=4.9),20,0)+IF(AND(ISNUMBER(BF3),BF3&gt;=9.0),20,0)</f>
        <v/>
      </c>
    </row>
    <row r="4" ht="87.5" customHeight="1">
      <c r="A4" s="15" t="n">
        <v>3</v>
      </c>
      <c r="B4" s="15" t="inlineStr">
        <is>
          <t>paddle</t>
        </is>
      </c>
      <c r="C4" s="15" t="inlineStr">
        <is>
          <t>Paddle</t>
        </is>
      </c>
      <c r="D4" s="15" t="inlineStr">
        <is>
          <t>Paddle</t>
        </is>
      </c>
      <c r="E4" s="15" t="inlineStr">
        <is>
          <t>23 rue Maréchal Juin, 62600 Berck</t>
        </is>
      </c>
      <c r="F4" s="15" t="inlineStr">
        <is>
          <t>Le 23</t>
        </is>
      </c>
      <c r="G4" s="2" t="inlineStr">
        <is>
          <t>marechal</t>
        </is>
      </c>
      <c r="H4" s="2" t="inlineStr">
        <is>
          <t>T2</t>
        </is>
      </c>
      <c r="I4" s="3" t="inlineStr">
        <is>
          <t>30 m²</t>
        </is>
      </c>
      <c r="J4" s="3" t="inlineStr">
        <is>
          <t>4 couchages · chambre 160×200 · canapé gigogne 2×(90×190)</t>
        </is>
      </c>
      <c r="K4" s="3" t="inlineStr">
        <is>
          <t>2e étage</t>
        </is>
      </c>
      <c r="L4" s="3" t="inlineStr">
        <is>
          <t>Non</t>
        </is>
      </c>
      <c r="M4" s="3" t="inlineStr">
        <is>
          <t>Dans la rue</t>
        </is>
      </c>
      <c r="N4" s="4" t="inlineStr">
        <is>
          <t>Voir la vidéo</t>
        </is>
      </c>
      <c r="O4" s="4" t="inlineStr">
        <is>
          <t>Voir la vidéo</t>
        </is>
      </c>
      <c r="P4" s="5" t="inlineStr">
        <is>
          <t>Vitro-céramique</t>
        </is>
      </c>
      <c r="Q4" s="5" t="inlineStr">
        <is>
          <t>Compartiment freezer</t>
        </is>
      </c>
      <c r="R4" s="5" t="inlineStr">
        <is>
          <t>Senseo + filtre</t>
        </is>
      </c>
      <c r="S4" s="5" t="inlineStr">
        <is>
          <t>Oui</t>
        </is>
      </c>
      <c r="T4" s="5" t="inlineStr">
        <is>
          <t>Oui</t>
        </is>
      </c>
      <c r="U4" s="5" t="inlineStr">
        <is>
          <t>Oui (assiettes, verres, casserole, poêle, plat à tarte)</t>
        </is>
      </c>
      <c r="V4" s="6" t="inlineStr">
        <is>
          <t>Oui (hypoallergénique, OK enfants)</t>
        </is>
      </c>
      <c r="W4" s="6" t="inlineStr">
        <is>
          <t>Oui</t>
        </is>
      </c>
      <c r="X4" s="6" t="inlineStr">
        <is>
          <t>Oui</t>
        </is>
      </c>
      <c r="Y4" s="6" t="inlineStr">
        <is>
          <t>Non</t>
        </is>
      </c>
      <c r="Z4" s="6" t="inlineStr">
        <is>
          <t>Oui</t>
        </is>
      </c>
      <c r="AA4" s="6" t="inlineStr">
        <is>
          <t>Non</t>
        </is>
      </c>
      <c r="AB4" s="3" t="inlineStr">
        <is>
          <t>Non</t>
        </is>
      </c>
      <c r="AC4" s="3" t="inlineStr">
        <is>
          <t>Oui</t>
        </is>
      </c>
      <c r="AD4" s="3" t="inlineStr">
        <is>
          <t>Non</t>
        </is>
      </c>
      <c r="AE4" s="3" t="inlineStr">
        <is>
          <t>Non</t>
        </is>
      </c>
      <c r="AF4" s="3" t="inlineStr">
        <is>
          <t>Molotov standard</t>
        </is>
      </c>
      <c r="AG4" s="3" t="n">
        <v>2</v>
      </c>
      <c r="AH4" s="7" t="inlineStr">
        <is>
          <t>Livebox-5B80</t>
        </is>
      </c>
      <c r="AI4" s="7" t="inlineStr">
        <is>
          <t>JHpXmzKUYcpbbc5cx5</t>
        </is>
      </c>
      <c r="AJ4" s="8" t="n">
        <v>15</v>
      </c>
      <c r="AK4" s="8" t="inlineStr">
        <is>
          <t>Non (en option)</t>
        </is>
      </c>
      <c r="AL4" s="8" t="inlineStr">
        <is>
          <t>Oui</t>
        </is>
      </c>
      <c r="AM4" s="8" t="inlineStr">
        <is>
          <t>Oui (sur demande)</t>
        </is>
      </c>
      <c r="AN4" s="8" t="inlineStr">
        <is>
          <t>Non</t>
        </is>
      </c>
      <c r="AO4" s="9" t="inlineStr">
        <is>
          <t>Oui</t>
        </is>
      </c>
      <c r="AP4" s="9" t="inlineStr">
        <is>
          <t>Rémi</t>
        </is>
      </c>
      <c r="AQ4" s="9" t="inlineStr">
        <is>
          <t>LMP</t>
        </is>
      </c>
      <c r="AR4" s="9" t="n">
        <v>0</v>
      </c>
      <c r="AS4" s="10" t="inlineStr">
        <is>
          <t>Lieu : Containers de rue à l'intersection avec l'avenue du Général de Gaulle, juste à la sortie de l'Hôpital Maritime_x000D_
Chemin : En sortant : à gauche → tout droit jusqu'au bout de la rue → 2ème à gauche (rue du Dr Victor Ménard)_x000D_
Distance : ~250 m, 2-3 min à pied_x000D_
Bacs : Jaune (emballages, plastiques, papiers) + Noir (ordures ménagères)</t>
        </is>
      </c>
      <c r="AT4" s="13" t="n">
        <v>300</v>
      </c>
      <c r="AU4" s="13" t="inlineStr">
        <is>
          <t>Standard</t>
        </is>
      </c>
      <c r="AV4" s="24" t="inlineStr">
        <is>
          <t>À définir</t>
        </is>
      </c>
      <c r="AW4" s="24" t="inlineStr">
        <is>
          <t>À définir</t>
        </is>
      </c>
      <c r="AX4" s="25" t="n">
        <v>15</v>
      </c>
      <c r="AY4" s="26" t="inlineStr">
        <is>
          <t>NON</t>
        </is>
      </c>
      <c r="AZ4" s="28" t="n">
        <v>20</v>
      </c>
      <c r="BA4" t="inlineStr">
        <is>
          <t>https://claudine-design.github.io/enquete-berck/checklist-menage/?appart=paddle</t>
        </is>
      </c>
      <c r="BB4" s="61" t="inlineStr">
        <is>
          <t>https://www.airbnb.fr/rooms/50917813</t>
        </is>
      </c>
      <c r="BC4" s="61" t="inlineStr">
        <is>
          <t>https://www.booking.com/hotel/fr/paddle-vue-mer-100m-plage.fr.html</t>
        </is>
      </c>
      <c r="BD4" s="32" t="n">
        <v>4.8</v>
      </c>
      <c r="BE4" s="32" t="n">
        <v>83</v>
      </c>
      <c r="BF4" s="35" t="n">
        <v>8.9</v>
      </c>
      <c r="BG4" s="32" t="n">
        <v>96</v>
      </c>
      <c r="BH4" s="32">
        <f>IF(AND(ISNUMBER(BD4),BD4&gt;=4.9),20,0)+IF(AND(ISNUMBER(BF4),BF4&gt;=9.0),20,0)</f>
        <v/>
      </c>
    </row>
    <row r="5" ht="87.5" customHeight="1">
      <c r="A5" s="15" t="n">
        <v>4</v>
      </c>
      <c r="B5" s="15" t="inlineStr">
        <is>
          <t>surf</t>
        </is>
      </c>
      <c r="C5" s="15" t="inlineStr">
        <is>
          <t>Surf</t>
        </is>
      </c>
      <c r="D5" s="15" t="inlineStr">
        <is>
          <t>Surf</t>
        </is>
      </c>
      <c r="E5" s="15" t="inlineStr">
        <is>
          <t>23 rue Maréchal Juin, 62600 Berck</t>
        </is>
      </c>
      <c r="F5" s="15" t="inlineStr">
        <is>
          <t>Le 23</t>
        </is>
      </c>
      <c r="G5" s="2" t="inlineStr">
        <is>
          <t>marechal</t>
        </is>
      </c>
      <c r="H5" s="2" t="inlineStr">
        <is>
          <t>T2</t>
        </is>
      </c>
      <c r="I5" s="3" t="inlineStr">
        <is>
          <t>30 m²</t>
        </is>
      </c>
      <c r="J5" s="3" t="inlineStr">
        <is>
          <t>4 couchages · chambre 160×200 · canapé gigogne 2×(90×190)</t>
        </is>
      </c>
      <c r="K5" s="3" t="inlineStr">
        <is>
          <t>1er étage</t>
        </is>
      </c>
      <c r="L5" s="3" t="inlineStr">
        <is>
          <t>Non</t>
        </is>
      </c>
      <c r="M5" s="3" t="inlineStr">
        <is>
          <t>Dans la rue</t>
        </is>
      </c>
      <c r="N5" s="11" t="n"/>
      <c r="O5" s="4" t="inlineStr">
        <is>
          <t>Voir la vidéo</t>
        </is>
      </c>
      <c r="P5" s="5" t="inlineStr">
        <is>
          <t>Vitro-céramique</t>
        </is>
      </c>
      <c r="Q5" s="5" t="inlineStr">
        <is>
          <t>Compartiment freezer</t>
        </is>
      </c>
      <c r="R5" s="5" t="inlineStr">
        <is>
          <t>Senseo + filtre</t>
        </is>
      </c>
      <c r="S5" s="5" t="inlineStr">
        <is>
          <t>Oui</t>
        </is>
      </c>
      <c r="T5" s="5" t="inlineStr">
        <is>
          <t>Oui</t>
        </is>
      </c>
      <c r="U5" s="5" t="inlineStr">
        <is>
          <t>Oui (assiettes, verres, casserole, poêle, plat à tarte)</t>
        </is>
      </c>
      <c r="V5" s="6" t="inlineStr">
        <is>
          <t>Oui (hypoallergénique, OK enfants)</t>
        </is>
      </c>
      <c r="W5" s="6" t="inlineStr">
        <is>
          <t>Oui</t>
        </is>
      </c>
      <c r="X5" s="6" t="inlineStr">
        <is>
          <t>Oui</t>
        </is>
      </c>
      <c r="Y5" s="6" t="inlineStr">
        <is>
          <t>Non</t>
        </is>
      </c>
      <c r="Z5" s="6" t="inlineStr">
        <is>
          <t>Oui</t>
        </is>
      </c>
      <c r="AA5" s="6" t="inlineStr">
        <is>
          <t>Non</t>
        </is>
      </c>
      <c r="AB5" s="3" t="inlineStr">
        <is>
          <t>Non</t>
        </is>
      </c>
      <c r="AC5" s="3" t="inlineStr">
        <is>
          <t>Oui</t>
        </is>
      </c>
      <c r="AD5" s="3" t="inlineStr">
        <is>
          <t>Non</t>
        </is>
      </c>
      <c r="AE5" s="3" t="inlineStr">
        <is>
          <t>Non</t>
        </is>
      </c>
      <c r="AF5" s="3" t="inlineStr">
        <is>
          <t>Molotov standard</t>
        </is>
      </c>
      <c r="AG5" s="3" t="n">
        <v>2</v>
      </c>
      <c r="AH5" s="7" t="inlineStr">
        <is>
          <t>SURF</t>
        </is>
      </c>
      <c r="AI5" s="7" t="inlineStr">
        <is>
          <t>Marechal</t>
        </is>
      </c>
      <c r="AJ5" s="8" t="n">
        <v>15</v>
      </c>
      <c r="AK5" s="8" t="inlineStr">
        <is>
          <t>Non (en option)</t>
        </is>
      </c>
      <c r="AL5" s="8" t="inlineStr">
        <is>
          <t>Oui</t>
        </is>
      </c>
      <c r="AM5" s="8" t="inlineStr">
        <is>
          <t>Oui (sur demande)</t>
        </is>
      </c>
      <c r="AN5" s="8" t="inlineStr">
        <is>
          <t>Non</t>
        </is>
      </c>
      <c r="AO5" s="9" t="inlineStr">
        <is>
          <t>Non</t>
        </is>
      </c>
      <c r="AP5" s="9" t="inlineStr">
        <is>
          <t>À définir</t>
        </is>
      </c>
      <c r="AQ5" s="9" t="inlineStr">
        <is>
          <t>LMP</t>
        </is>
      </c>
      <c r="AR5" s="9" t="n">
        <v>0</v>
      </c>
      <c r="AS5" s="10" t="inlineStr">
        <is>
          <t>Lieu : Containers de rue à l'intersection avec l'avenue du Général de Gaulle, juste à la sortie de l'Hôpital Maritime_x000D_
Chemin : En sortant : à gauche → tout droit jusqu'au bout de la rue → 2ème à gauche (rue du Dr Victor Ménard)_x000D_
Distance : ~250 m, 2-3 min à pied_x000D_
Bacs : Jaune (emballages, plastiques, papiers) + Noir (ordures ménagères)</t>
        </is>
      </c>
      <c r="AT5" s="13" t="n">
        <v>300</v>
      </c>
      <c r="AU5" s="13" t="inlineStr">
        <is>
          <t>Standard</t>
        </is>
      </c>
      <c r="AV5" s="24" t="inlineStr">
        <is>
          <t>À définir</t>
        </is>
      </c>
      <c r="AW5" s="24" t="inlineStr">
        <is>
          <t>À définir</t>
        </is>
      </c>
      <c r="AX5" s="25" t="n">
        <v>15</v>
      </c>
      <c r="AY5" s="26" t="inlineStr">
        <is>
          <t>NON</t>
        </is>
      </c>
      <c r="AZ5" s="28" t="n">
        <v>20</v>
      </c>
      <c r="BA5" t="inlineStr">
        <is>
          <t>https://claudine-design.github.io/enquete-berck/checklist-menage/?appart=surf</t>
        </is>
      </c>
      <c r="BB5" s="61" t="inlineStr">
        <is>
          <t>https://www.airbnb.fr/rooms/609130331930359937</t>
        </is>
      </c>
      <c r="BC5" s="61" t="inlineStr">
        <is>
          <t>https://www.booking.com/hotel/fr/surf-vue-mer-100m-plage.fr.html</t>
        </is>
      </c>
      <c r="BD5" s="32" t="n">
        <v>4.73</v>
      </c>
      <c r="BE5" s="32" t="n">
        <v>93</v>
      </c>
      <c r="BF5" s="32" t="n">
        <v>8.1</v>
      </c>
      <c r="BG5" s="32" t="n">
        <v>66</v>
      </c>
      <c r="BH5" s="32">
        <f>IF(AND(ISNUMBER(BD5),BD5&gt;=4.9),20,0)+IF(AND(ISNUMBER(BF5),BF5&gt;=9.0),20,0)</f>
        <v/>
      </c>
    </row>
    <row r="6" ht="87.5" customHeight="1">
      <c r="A6" s="15" t="n">
        <v>5</v>
      </c>
      <c r="B6" s="15" t="inlineStr">
        <is>
          <t>famille</t>
        </is>
      </c>
      <c r="C6" s="15" t="inlineStr">
        <is>
          <t>Famille</t>
        </is>
      </c>
      <c r="D6" s="15" t="inlineStr">
        <is>
          <t>3 Chambres 100m Plage</t>
        </is>
      </c>
      <c r="E6" s="15" t="inlineStr">
        <is>
          <t>23 rue Maréchal Juin, 62600 Berck</t>
        </is>
      </c>
      <c r="F6" s="15" t="inlineStr">
        <is>
          <t>Le 23</t>
        </is>
      </c>
      <c r="G6" s="2" t="inlineStr">
        <is>
          <t>marechal</t>
        </is>
      </c>
      <c r="H6" s="2" t="inlineStr">
        <is>
          <t>T4</t>
        </is>
      </c>
      <c r="I6" s="3" t="inlineStr">
        <is>
          <t>70 m²</t>
        </is>
      </c>
      <c r="J6" s="3" t="inlineStr">
        <is>
          <t>6+ couchages · 3 chambres</t>
        </is>
      </c>
      <c r="K6" s="12" t="inlineStr">
        <is>
          <t>1er étage (entrée RDC, escalier direct)</t>
        </is>
      </c>
      <c r="L6" s="3" t="inlineStr">
        <is>
          <t>Non</t>
        </is>
      </c>
      <c r="M6" s="3" t="inlineStr">
        <is>
          <t>Dans la rue</t>
        </is>
      </c>
      <c r="N6" s="11" t="n"/>
      <c r="O6" s="4" t="inlineStr">
        <is>
          <t>Voir la vidéo</t>
        </is>
      </c>
      <c r="P6" s="5" t="inlineStr">
        <is>
          <t>Induction</t>
        </is>
      </c>
      <c r="Q6" s="5" t="inlineStr">
        <is>
          <t>Frigo + congélateur séparé</t>
        </is>
      </c>
      <c r="R6" s="5" t="inlineStr">
        <is>
          <t>Senseo + filtre</t>
        </is>
      </c>
      <c r="S6" s="5" t="inlineStr">
        <is>
          <t>Oui</t>
        </is>
      </c>
      <c r="T6" s="5" t="inlineStr">
        <is>
          <t>Oui</t>
        </is>
      </c>
      <c r="U6" s="5" t="inlineStr">
        <is>
          <t>Oui (assiettes, verres, casserole, poêle, plat à tarte)</t>
        </is>
      </c>
      <c r="V6" s="6" t="inlineStr">
        <is>
          <t>Oui (hypoallergénique, OK enfants)</t>
        </is>
      </c>
      <c r="W6" s="6" t="inlineStr">
        <is>
          <t>Oui</t>
        </is>
      </c>
      <c r="X6" s="6" t="inlineStr">
        <is>
          <t>Oui</t>
        </is>
      </c>
      <c r="Y6" s="6" t="inlineStr">
        <is>
          <t>Non</t>
        </is>
      </c>
      <c r="Z6" s="6" t="inlineStr">
        <is>
          <t>Oui</t>
        </is>
      </c>
      <c r="AA6" s="6" t="inlineStr">
        <is>
          <t>Non</t>
        </is>
      </c>
      <c r="AB6" s="3" t="inlineStr">
        <is>
          <t>Non</t>
        </is>
      </c>
      <c r="AC6" s="3" t="inlineStr">
        <is>
          <t>Non</t>
        </is>
      </c>
      <c r="AD6" s="3" t="inlineStr">
        <is>
          <t>Non</t>
        </is>
      </c>
      <c r="AE6" s="3" t="inlineStr">
        <is>
          <t>Non</t>
        </is>
      </c>
      <c r="AF6" s="3" t="inlineStr">
        <is>
          <t>Molotov standard</t>
        </is>
      </c>
      <c r="AG6" s="3" t="n">
        <v>2</v>
      </c>
      <c r="AH6" s="7" t="inlineStr">
        <is>
          <t>A préciser</t>
        </is>
      </c>
      <c r="AI6" s="12" t="inlineStr">
        <is>
          <t>To check</t>
        </is>
      </c>
      <c r="AJ6" s="8" t="n">
        <v>15</v>
      </c>
      <c r="AK6" s="8" t="inlineStr">
        <is>
          <t>Non (en option)</t>
        </is>
      </c>
      <c r="AL6" s="8" t="inlineStr">
        <is>
          <t>Oui</t>
        </is>
      </c>
      <c r="AM6" s="8" t="inlineStr">
        <is>
          <t>Oui (sur demande)</t>
        </is>
      </c>
      <c r="AN6" s="8" t="inlineStr">
        <is>
          <t>Non</t>
        </is>
      </c>
      <c r="AO6" s="9" t="inlineStr">
        <is>
          <t>Non</t>
        </is>
      </c>
      <c r="AP6" s="9" t="inlineStr">
        <is>
          <t>À définir</t>
        </is>
      </c>
      <c r="AQ6" s="9" t="inlineStr">
        <is>
          <t>LMP</t>
        </is>
      </c>
      <c r="AR6" s="9" t="n">
        <v>6</v>
      </c>
      <c r="AS6" s="10" t="inlineStr">
        <is>
          <t>Lieu : Containers de rue à l'intersection avec l'avenue du Général de Gaulle, juste à la sortie de l'Hôpital Maritime_x000D_
Chemin : En sortant : à gauche → tout droit jusqu'au bout de la rue → 2ème à gauche (rue du Dr Victor Ménard)_x000D_
Distance : ~250 m, 2-3 min à pied_x000D_
Bacs : Jaune (emballages, plastiques, papiers) + Noir (ordures ménagères)</t>
        </is>
      </c>
      <c r="AT6" s="13" t="n">
        <v>600</v>
      </c>
      <c r="AU6" s="13" t="inlineStr">
        <is>
          <t>Gros appart</t>
        </is>
      </c>
      <c r="AV6" s="24" t="inlineStr">
        <is>
          <t>À définir</t>
        </is>
      </c>
      <c r="AW6" s="24" t="inlineStr">
        <is>
          <t>À définir</t>
        </is>
      </c>
      <c r="AX6" s="25" t="n">
        <v>15</v>
      </c>
      <c r="AY6" s="26" t="inlineStr">
        <is>
          <t>NON</t>
        </is>
      </c>
      <c r="AZ6" s="28" t="n">
        <v>20</v>
      </c>
      <c r="BA6" t="inlineStr">
        <is>
          <t>https://claudine-design.github.io/enquete-berck/checklist-menage/?appart=famille</t>
        </is>
      </c>
      <c r="BB6" s="60" t="n"/>
      <c r="BC6" s="60" t="n"/>
      <c r="BD6" s="32" t="n"/>
      <c r="BE6" s="32" t="n">
        <v>0</v>
      </c>
      <c r="BF6" s="32" t="n"/>
      <c r="BG6" s="32" t="n">
        <v>0</v>
      </c>
      <c r="BH6" s="32">
        <f>IF(AND(ISNUMBER(BD6),BD6&gt;=4.9),20,0)+IF(AND(ISNUMBER(BF6),BF6&gt;=9.0),20,0)</f>
        <v/>
      </c>
    </row>
    <row r="7" ht="87.5" customHeight="1">
      <c r="A7" s="15" t="n">
        <v>6</v>
      </c>
      <c r="B7" s="15" t="inlineStr">
        <is>
          <t>balneo</t>
        </is>
      </c>
      <c r="C7" s="15" t="inlineStr">
        <is>
          <t>Balnéo</t>
        </is>
      </c>
      <c r="D7" s="15" t="inlineStr">
        <is>
          <t>Balnéo Garden</t>
        </is>
      </c>
      <c r="E7" s="15" t="inlineStr">
        <is>
          <t>25 rue Maréchal Juin, 62600 Berck</t>
        </is>
      </c>
      <c r="F7" s="15" t="inlineStr">
        <is>
          <t>Le 25</t>
        </is>
      </c>
      <c r="G7" s="2" t="inlineStr">
        <is>
          <t>marechal</t>
        </is>
      </c>
      <c r="H7" s="2" t="inlineStr">
        <is>
          <t>T3</t>
        </is>
      </c>
      <c r="I7" s="3" t="inlineStr">
        <is>
          <t>53 m²</t>
        </is>
      </c>
      <c r="J7" s="3" t="inlineStr">
        <is>
          <t>6 couchages · chambre 1: 160×200 · chambre 2: 2×(90×190) · canapé 140×190</t>
        </is>
      </c>
      <c r="K7" s="3" t="inlineStr">
        <is>
          <t>RDC</t>
        </is>
      </c>
      <c r="L7" s="3" t="inlineStr">
        <is>
          <t>Non</t>
        </is>
      </c>
      <c r="M7" s="3" t="inlineStr">
        <is>
          <t>✅ Parking sécurisé inclus</t>
        </is>
      </c>
      <c r="N7" s="4" t="inlineStr">
        <is>
          <t>Voir la vidéo</t>
        </is>
      </c>
      <c r="O7" s="4" t="inlineStr">
        <is>
          <t>Voir la vidéo</t>
        </is>
      </c>
      <c r="P7" s="5" t="inlineStr">
        <is>
          <t>Vitro-céramique</t>
        </is>
      </c>
      <c r="Q7" s="5" t="inlineStr">
        <is>
          <t>Frigo américain (congélateur intégré)</t>
        </is>
      </c>
      <c r="R7" s="5" t="inlineStr">
        <is>
          <t>Senseo + filtre</t>
        </is>
      </c>
      <c r="S7" s="5" t="inlineStr">
        <is>
          <t>Oui</t>
        </is>
      </c>
      <c r="T7" s="5" t="inlineStr">
        <is>
          <t>Oui</t>
        </is>
      </c>
      <c r="U7" s="5" t="inlineStr">
        <is>
          <t>Oui (assiettes, verres, casserole, poêle, plat à tarte)</t>
        </is>
      </c>
      <c r="V7" s="6" t="inlineStr">
        <is>
          <t>Oui (hypoallergénique, OK enfants)</t>
        </is>
      </c>
      <c r="W7" s="6" t="inlineStr">
        <is>
          <t>Oui</t>
        </is>
      </c>
      <c r="X7" s="6" t="inlineStr">
        <is>
          <t>Oui</t>
        </is>
      </c>
      <c r="Y7" s="6" t="inlineStr">
        <is>
          <t>Oui</t>
        </is>
      </c>
      <c r="Z7" s="6" t="inlineStr">
        <is>
          <t>Oui</t>
        </is>
      </c>
      <c r="AA7" s="22" t="inlineStr">
        <is>
          <t>Cetana (2 places face à face)</t>
        </is>
      </c>
      <c r="AB7" s="3" t="inlineStr">
        <is>
          <t>Non</t>
        </is>
      </c>
      <c r="AC7" s="3" t="inlineStr">
        <is>
          <t>Oui</t>
        </is>
      </c>
      <c r="AD7" s="3" t="inlineStr">
        <is>
          <t>Oui</t>
        </is>
      </c>
      <c r="AE7" s="3" t="inlineStr">
        <is>
          <t>Non</t>
        </is>
      </c>
      <c r="AF7" s="3" t="inlineStr">
        <is>
          <t>Molotov standard</t>
        </is>
      </c>
      <c r="AG7" s="3" t="n">
        <v>1</v>
      </c>
      <c r="AH7" s="7" t="inlineStr">
        <is>
          <t>XXX_63B8</t>
        </is>
      </c>
      <c r="AI7" s="7" t="inlineStr">
        <is>
          <t>89tnbr3bqk33pwkp8tjj</t>
        </is>
      </c>
      <c r="AJ7" s="8" t="n">
        <v>20</v>
      </c>
      <c r="AK7" s="8" t="inlineStr">
        <is>
          <t>Oui</t>
        </is>
      </c>
      <c r="AL7" s="8" t="inlineStr">
        <is>
          <t>Oui</t>
        </is>
      </c>
      <c r="AM7" s="8" t="inlineStr">
        <is>
          <t>Oui (sur demande)</t>
        </is>
      </c>
      <c r="AN7" s="8" t="inlineStr">
        <is>
          <t>Non</t>
        </is>
      </c>
      <c r="AO7" s="9" t="inlineStr">
        <is>
          <t>Non</t>
        </is>
      </c>
      <c r="AP7" s="9" t="inlineStr">
        <is>
          <t>Clara</t>
        </is>
      </c>
      <c r="AQ7" s="9" t="inlineStr">
        <is>
          <t>LMP</t>
        </is>
      </c>
      <c r="AR7" s="9" t="n">
        <v>6</v>
      </c>
      <c r="AS7" s="10" t="inlineStr">
        <is>
          <t>Lieu : Containers de rue à l'intersection avec l'avenue du Général de Gaulle, juste à la sortie de l'Hôpital Maritime_x000D_
Chemin : En sortant : à gauche → tout droit jusqu'au bout de la rue → 2ème à gauche (rue du Dr Victor Ménard)_x000D_
Distance : ~250 m, 2-3 min à pied_x000D_
Bacs : Jaune (emballages, plastiques, papiers) + Noir (ordures ménagères)</t>
        </is>
      </c>
      <c r="AT7" s="13" t="n">
        <v>600</v>
      </c>
      <c r="AU7" s="13" t="inlineStr">
        <is>
          <t>Balnéo</t>
        </is>
      </c>
      <c r="AV7" s="24" t="inlineStr">
        <is>
          <t>À définir</t>
        </is>
      </c>
      <c r="AW7" s="24" t="inlineStr">
        <is>
          <t>À définir</t>
        </is>
      </c>
      <c r="AX7" s="13" t="inlineStr">
        <is>
          <t>—</t>
        </is>
      </c>
      <c r="AY7" s="27" t="inlineStr">
        <is>
          <t>OUI</t>
        </is>
      </c>
      <c r="AZ7" s="28" t="n">
        <v>20</v>
      </c>
      <c r="BA7" t="inlineStr">
        <is>
          <t>https://claudine-design.github.io/enquete-berck/checklist-menage/?appart=balneo</t>
        </is>
      </c>
      <c r="BB7" s="61" t="inlineStr">
        <is>
          <t>https://www.airbnb.fr/rooms/1616165051672596903</t>
        </is>
      </c>
      <c r="BC7" s="60" t="inlineStr">
        <is>
          <t>https://www.booking.com/hotel/fr/balneo-100m-plage-jardin-brasero.fr.html</t>
        </is>
      </c>
      <c r="BD7" s="32" t="n">
        <v>3.5</v>
      </c>
      <c r="BE7" s="32" t="n">
        <v>2</v>
      </c>
      <c r="BF7" s="32" t="n">
        <v>9.300000000000001</v>
      </c>
      <c r="BG7" s="32" t="n">
        <v>93</v>
      </c>
      <c r="BH7" s="32" t="n">
        <v>20</v>
      </c>
    </row>
    <row r="8" ht="87.5" customHeight="1">
      <c r="A8" s="15" t="n">
        <v>7</v>
      </c>
      <c r="B8" s="15" t="inlineStr">
        <is>
          <t>cocon</t>
        </is>
      </c>
      <c r="C8" s="15" t="inlineStr">
        <is>
          <t>Cocon Romantique</t>
        </is>
      </c>
      <c r="D8" s="15" t="inlineStr">
        <is>
          <t>Cocon Romantique</t>
        </is>
      </c>
      <c r="E8" s="15" t="inlineStr">
        <is>
          <t>25 rue Maréchal Juin, 62600 Berck</t>
        </is>
      </c>
      <c r="F8" s="15" t="inlineStr">
        <is>
          <t>Le 25</t>
        </is>
      </c>
      <c r="G8" s="2" t="inlineStr">
        <is>
          <t>marechal</t>
        </is>
      </c>
      <c r="H8" s="2" t="inlineStr">
        <is>
          <t>T2</t>
        </is>
      </c>
      <c r="I8" s="3" t="inlineStr">
        <is>
          <t>40 m²</t>
        </is>
      </c>
      <c r="J8" s="3" t="inlineStr">
        <is>
          <t>2 couchages · chambre 160×200</t>
        </is>
      </c>
      <c r="K8" s="3" t="inlineStr">
        <is>
          <t>RDC</t>
        </is>
      </c>
      <c r="L8" s="3" t="inlineStr">
        <is>
          <t>Non</t>
        </is>
      </c>
      <c r="M8" s="3" t="inlineStr">
        <is>
          <t>Dans la rue</t>
        </is>
      </c>
      <c r="N8" s="11" t="n"/>
      <c r="O8" s="4" t="inlineStr">
        <is>
          <t>Voir la vidéo</t>
        </is>
      </c>
      <c r="P8" s="5" t="inlineStr">
        <is>
          <t>Vitro-céramique</t>
        </is>
      </c>
      <c r="Q8" s="5" t="inlineStr">
        <is>
          <t>Compartiment freezer</t>
        </is>
      </c>
      <c r="R8" s="5" t="inlineStr">
        <is>
          <t>Senseo + filtre</t>
        </is>
      </c>
      <c r="S8" s="5" t="inlineStr">
        <is>
          <t>Oui</t>
        </is>
      </c>
      <c r="T8" s="5" t="inlineStr">
        <is>
          <t>Oui</t>
        </is>
      </c>
      <c r="U8" s="5" t="inlineStr">
        <is>
          <t>Oui (assiettes, verres, casserole, poêle, plat à tarte)</t>
        </is>
      </c>
      <c r="V8" s="6" t="inlineStr">
        <is>
          <t>Oui (hypoallergénique, OK enfants)</t>
        </is>
      </c>
      <c r="W8" s="6" t="inlineStr">
        <is>
          <t>Oui</t>
        </is>
      </c>
      <c r="X8" s="6" t="inlineStr">
        <is>
          <t>Oui</t>
        </is>
      </c>
      <c r="Y8" s="6" t="inlineStr">
        <is>
          <t>Oui</t>
        </is>
      </c>
      <c r="Z8" s="6" t="inlineStr">
        <is>
          <t>Oui</t>
        </is>
      </c>
      <c r="AA8" s="22" t="inlineStr">
        <is>
          <t>Cetana (2 places face à face)</t>
        </is>
      </c>
      <c r="AB8" s="23" t="inlineStr">
        <is>
          <t>Oui</t>
        </is>
      </c>
      <c r="AC8" s="3" t="inlineStr">
        <is>
          <t>Non</t>
        </is>
      </c>
      <c r="AD8" s="3" t="inlineStr">
        <is>
          <t>Oui</t>
        </is>
      </c>
      <c r="AE8" s="3" t="inlineStr">
        <is>
          <t>Non</t>
        </is>
      </c>
      <c r="AF8" s="3" t="inlineStr">
        <is>
          <t>Molotov standard</t>
        </is>
      </c>
      <c r="AG8" s="3" t="n">
        <v>1</v>
      </c>
      <c r="AH8" s="7" t="inlineStr">
        <is>
          <t>SFR_63B8</t>
        </is>
      </c>
      <c r="AI8" s="7" t="inlineStr">
        <is>
          <t>89tnbr3bqk33pwkp8tjj</t>
        </is>
      </c>
      <c r="AJ8" s="8" t="n">
        <v>20</v>
      </c>
      <c r="AK8" s="8" t="inlineStr">
        <is>
          <t>Oui</t>
        </is>
      </c>
      <c r="AL8" s="8" t="inlineStr">
        <is>
          <t>Oui</t>
        </is>
      </c>
      <c r="AM8" s="8" t="inlineStr">
        <is>
          <t>Oui (sur demande)</t>
        </is>
      </c>
      <c r="AN8" s="8" t="inlineStr">
        <is>
          <t>Non</t>
        </is>
      </c>
      <c r="AO8" s="9" t="inlineStr">
        <is>
          <t>Non</t>
        </is>
      </c>
      <c r="AP8" s="9" t="inlineStr">
        <is>
          <t>Clara</t>
        </is>
      </c>
      <c r="AQ8" s="9" t="inlineStr">
        <is>
          <t>LMP</t>
        </is>
      </c>
      <c r="AR8" s="9" t="n">
        <v>6</v>
      </c>
      <c r="AS8" s="10" t="inlineStr">
        <is>
          <t>Lieu : Containers de rue à l'intersection avec l'avenue du Général de Gaulle, juste à la sortie de l'Hôpital Maritime_x000D_
Chemin : En sortant : à gauche → tout droit jusqu'au bout de la rue → 2ème à gauche (rue du Dr Victor Ménard)_x000D_
Distance : ~250 m, 2-3 min à pied_x000D_
Bacs : Jaune (emballages, plastiques, papiers) + Noir (ordures ménagères)</t>
        </is>
      </c>
      <c r="AT8" s="13" t="n">
        <v>600</v>
      </c>
      <c r="AU8" s="13" t="inlineStr">
        <is>
          <t>Balnéo</t>
        </is>
      </c>
      <c r="AV8" s="24" t="inlineStr">
        <is>
          <t>À définir</t>
        </is>
      </c>
      <c r="AW8" s="24" t="inlineStr">
        <is>
          <t>À définir</t>
        </is>
      </c>
      <c r="AX8" s="13" t="inlineStr">
        <is>
          <t>—</t>
        </is>
      </c>
      <c r="AY8" s="27" t="inlineStr">
        <is>
          <t>OUI</t>
        </is>
      </c>
      <c r="AZ8" s="28" t="n">
        <v>20</v>
      </c>
      <c r="BA8" t="inlineStr">
        <is>
          <t>https://claudine-design.github.io/enquete-berck/checklist-menage/?appart=cocon-romantique</t>
        </is>
      </c>
      <c r="BB8" s="61" t="inlineStr">
        <is>
          <t>https://www.airbnb.fr/rooms/1663215081899508161</t>
        </is>
      </c>
      <c r="BC8" s="61" t="inlineStr">
        <is>
          <t>https://www.booking.com/hotel/fr/cocon-romantique-sauna-balneo-amp-mer-a-100m.fr.html</t>
        </is>
      </c>
      <c r="BD8" s="32" t="n"/>
      <c r="BE8" s="32" t="n">
        <v>0</v>
      </c>
      <c r="BF8" s="33" t="n">
        <v>9.199999999999999</v>
      </c>
      <c r="BG8" s="32" t="n">
        <v>6</v>
      </c>
      <c r="BH8" s="33">
        <f>IF(AND(ISNUMBER(BD8),BD8&gt;=4.9),20,0)+IF(AND(ISNUMBER(BF8),BF8&gt;=9.0),20,0)</f>
        <v/>
      </c>
    </row>
    <row r="9" ht="62.5" customHeight="1">
      <c r="A9" s="16" t="n">
        <v>8</v>
      </c>
      <c r="B9" s="16" t="inlineStr">
        <is>
          <t>terrasse</t>
        </is>
      </c>
      <c r="C9" s="16" t="inlineStr">
        <is>
          <t>Terrasse</t>
        </is>
      </c>
      <c r="D9" s="16" t="inlineStr">
        <is>
          <t>La Terrasse</t>
        </is>
      </c>
      <c r="E9" s="16" t="inlineStr">
        <is>
          <t>17 rue du Grand Hôtel, 62600 Berck</t>
        </is>
      </c>
      <c r="F9" s="16" t="inlineStr">
        <is>
          <t>Terrasse</t>
        </is>
      </c>
      <c r="G9" s="2" t="inlineStr">
        <is>
          <t>terrasse</t>
        </is>
      </c>
      <c r="H9" s="2" t="inlineStr">
        <is>
          <t>T3</t>
        </is>
      </c>
      <c r="I9" s="3" t="inlineStr">
        <is>
          <t>63 m²</t>
        </is>
      </c>
      <c r="J9" s="3" t="inlineStr">
        <is>
          <t>8 couchages · chambre 1: 160×200 · chambre 2: 140×200 + 2×(90×190) · canapé 140×190</t>
        </is>
      </c>
      <c r="K9" s="3" t="inlineStr">
        <is>
          <t>RDC</t>
        </is>
      </c>
      <c r="L9" s="3" t="inlineStr">
        <is>
          <t>Non</t>
        </is>
      </c>
      <c r="M9" s="3" t="inlineStr">
        <is>
          <t>Dans la rue</t>
        </is>
      </c>
      <c r="N9" s="11" t="n"/>
      <c r="O9" s="4" t="inlineStr">
        <is>
          <t>Voir la vidéo</t>
        </is>
      </c>
      <c r="P9" s="5" t="inlineStr">
        <is>
          <t>Vitro-céramique</t>
        </is>
      </c>
      <c r="Q9" s="5" t="inlineStr">
        <is>
          <t>Frigo + congélateur séparé</t>
        </is>
      </c>
      <c r="R9" s="5" t="inlineStr">
        <is>
          <t>Senseo + filtre</t>
        </is>
      </c>
      <c r="S9" s="5" t="inlineStr">
        <is>
          <t>Oui</t>
        </is>
      </c>
      <c r="T9" s="5" t="inlineStr">
        <is>
          <t>Oui</t>
        </is>
      </c>
      <c r="U9" s="5" t="inlineStr">
        <is>
          <t>Oui (assiettes, verres, casserole, poêle, plat à tarte)</t>
        </is>
      </c>
      <c r="V9" s="6" t="inlineStr">
        <is>
          <t>Oui (hypoallergénique, OK enfants)</t>
        </is>
      </c>
      <c r="W9" s="6" t="inlineStr">
        <is>
          <t>Oui</t>
        </is>
      </c>
      <c r="X9" s="6" t="inlineStr">
        <is>
          <t>Oui</t>
        </is>
      </c>
      <c r="Y9" s="6" t="inlineStr">
        <is>
          <t>Oui</t>
        </is>
      </c>
      <c r="Z9" s="6" t="inlineStr">
        <is>
          <t>Oui</t>
        </is>
      </c>
      <c r="AA9" s="6" t="inlineStr">
        <is>
          <t>Non</t>
        </is>
      </c>
      <c r="AB9" s="3" t="inlineStr">
        <is>
          <t>Non</t>
        </is>
      </c>
      <c r="AC9" s="3" t="inlineStr">
        <is>
          <t>Oui</t>
        </is>
      </c>
      <c r="AD9" s="3" t="inlineStr">
        <is>
          <t>Non</t>
        </is>
      </c>
      <c r="AE9" s="3" t="inlineStr">
        <is>
          <t>Oui</t>
        </is>
      </c>
      <c r="AF9" s="3" t="inlineStr">
        <is>
          <t>Molotov standard</t>
        </is>
      </c>
      <c r="AG9" s="3" t="n">
        <v>1</v>
      </c>
      <c r="AH9" s="7" t="inlineStr">
        <is>
          <t>xxxx_5ACO</t>
        </is>
      </c>
      <c r="AI9" s="7" t="inlineStr">
        <is>
          <t>qpvr6qkj76bhcb6uyw25</t>
        </is>
      </c>
      <c r="AJ9" s="8" t="n">
        <v>15</v>
      </c>
      <c r="AK9" s="8" t="inlineStr">
        <is>
          <t>Non (en option)</t>
        </is>
      </c>
      <c r="AL9" s="8" t="inlineStr">
        <is>
          <t>Oui</t>
        </is>
      </c>
      <c r="AM9" s="8" t="inlineStr">
        <is>
          <t>Oui (sur demande)</t>
        </is>
      </c>
      <c r="AN9" s="8" t="inlineStr">
        <is>
          <t>✅ Lit bébé + chaise haute</t>
        </is>
      </c>
      <c r="AO9" s="9" t="inlineStr">
        <is>
          <t>Non</t>
        </is>
      </c>
      <c r="AP9" s="9" t="inlineStr">
        <is>
          <t>Christelle</t>
        </is>
      </c>
      <c r="AQ9" s="9" t="inlineStr">
        <is>
          <t>LMP</t>
        </is>
      </c>
      <c r="AR9" s="9" t="n">
        <v>0</v>
      </c>
      <c r="AS9" s="10" t="inlineStr">
        <is>
          <t>Lieu : Poubelles dans la cour à l'arrière de l'appartement_x000D_
Bacs : Gris (1 grande poubelle dédiée à votre appartement, ordures ménagères) + Jaune (cartons et bouteilles plastiques uniquement)_x000D_
Verre : Conteneur à verre au parking, à la jonction du Dr Calot et du bd de Boulogne (~150 m)</t>
        </is>
      </c>
      <c r="AT9" s="13" t="n">
        <v>500</v>
      </c>
      <c r="AU9" s="13" t="inlineStr">
        <is>
          <t>Prestige</t>
        </is>
      </c>
      <c r="AV9" s="24" t="inlineStr">
        <is>
          <t>À définir</t>
        </is>
      </c>
      <c r="AW9" s="24" t="inlineStr">
        <is>
          <t>À définir</t>
        </is>
      </c>
      <c r="AX9" s="25" t="n">
        <v>15</v>
      </c>
      <c r="AY9" s="26" t="inlineStr">
        <is>
          <t>NON</t>
        </is>
      </c>
      <c r="AZ9" s="28" t="n">
        <v>20</v>
      </c>
      <c r="BA9" t="inlineStr">
        <is>
          <t>https://claudine-design.github.io/enquete-berck/checklist-menage/?appart=terrasse</t>
        </is>
      </c>
      <c r="BB9" s="61" t="inlineStr">
        <is>
          <t>https://www.airbnb.fr/rooms/43304923</t>
        </is>
      </c>
      <c r="BC9" s="61" t="inlineStr">
        <is>
          <t>https://www.booking.com/hotel/fr/grand-appartement-100-m-plage-8-pers-terrasse.fr.html</t>
        </is>
      </c>
      <c r="BD9" s="32" t="n">
        <v>4.82</v>
      </c>
      <c r="BE9" s="32" t="n">
        <v>99</v>
      </c>
      <c r="BF9" s="32" t="n">
        <v>8.1</v>
      </c>
      <c r="BG9" s="32" t="n">
        <v>59</v>
      </c>
      <c r="BH9" s="32">
        <f>IF(AND(ISNUMBER(BD9),BD9&gt;=4.9),20,0)+IF(AND(ISNUMBER(BF9),BF9&gt;=9.0),20,0)</f>
        <v/>
      </c>
    </row>
    <row r="10" ht="75" customHeight="1">
      <c r="A10" s="16" t="n">
        <v>9</v>
      </c>
      <c r="B10" s="16" t="inlineStr">
        <is>
          <t>maisonnette</t>
        </is>
      </c>
      <c r="C10" s="16" t="inlineStr">
        <is>
          <t>Maisonnette</t>
        </is>
      </c>
      <c r="D10" s="16" t="inlineStr">
        <is>
          <t>Cœur des Sables</t>
        </is>
      </c>
      <c r="E10" s="16" t="inlineStr">
        <is>
          <t>2 rue des Sables, 62600 Berck</t>
        </is>
      </c>
      <c r="F10" s="16" t="inlineStr">
        <is>
          <t>Terrasse</t>
        </is>
      </c>
      <c r="G10" s="2" t="inlineStr">
        <is>
          <t>terrasse</t>
        </is>
      </c>
      <c r="H10" s="2" t="inlineStr">
        <is>
          <t>Studio</t>
        </is>
      </c>
      <c r="I10" s="3" t="inlineStr">
        <is>
          <t>23 m²</t>
        </is>
      </c>
      <c r="J10" s="3" t="inlineStr">
        <is>
          <t>2 lits · 160×200</t>
        </is>
      </c>
      <c r="K10" s="3" t="inlineStr">
        <is>
          <t>RDC</t>
        </is>
      </c>
      <c r="L10" s="3" t="inlineStr">
        <is>
          <t>Non</t>
        </is>
      </c>
      <c r="M10" s="3" t="inlineStr">
        <is>
          <t>Dans la rue</t>
        </is>
      </c>
      <c r="N10" s="4" t="inlineStr">
        <is>
          <t>Voir la vidéo</t>
        </is>
      </c>
      <c r="O10" s="4" t="inlineStr">
        <is>
          <t>Voir la vidéo</t>
        </is>
      </c>
      <c r="P10" s="5" t="inlineStr">
        <is>
          <t>Vitro-céramique</t>
        </is>
      </c>
      <c r="Q10" s="5" t="inlineStr">
        <is>
          <t>Compartiment freezer</t>
        </is>
      </c>
      <c r="R10" s="5" t="inlineStr">
        <is>
          <t>Senseo</t>
        </is>
      </c>
      <c r="S10" s="5" t="inlineStr">
        <is>
          <t>Oui</t>
        </is>
      </c>
      <c r="T10" s="5" t="inlineStr">
        <is>
          <t>Oui</t>
        </is>
      </c>
      <c r="U10" s="5" t="inlineStr">
        <is>
          <t>Oui (assiettes, verres, casserole, poêle, plat à tarte)</t>
        </is>
      </c>
      <c r="V10" s="6" t="inlineStr">
        <is>
          <t>Oui (hypoallergénique, OK enfants)</t>
        </is>
      </c>
      <c r="W10" s="6" t="inlineStr">
        <is>
          <t>Oui</t>
        </is>
      </c>
      <c r="X10" s="6" t="inlineStr">
        <is>
          <t>Non</t>
        </is>
      </c>
      <c r="Y10" s="6" t="inlineStr">
        <is>
          <t>Non</t>
        </is>
      </c>
      <c r="Z10" s="6" t="inlineStr">
        <is>
          <t>Oui</t>
        </is>
      </c>
      <c r="AA10" s="6" t="inlineStr">
        <is>
          <t>Non</t>
        </is>
      </c>
      <c r="AB10" s="3" t="inlineStr">
        <is>
          <t>Non</t>
        </is>
      </c>
      <c r="AC10" s="3" t="inlineStr">
        <is>
          <t>Oui</t>
        </is>
      </c>
      <c r="AD10" s="3" t="inlineStr">
        <is>
          <t>Oui</t>
        </is>
      </c>
      <c r="AE10" s="3" t="inlineStr">
        <is>
          <t>Non</t>
        </is>
      </c>
      <c r="AF10" s="3" t="inlineStr">
        <is>
          <t>Molotov standard</t>
        </is>
      </c>
      <c r="AG10" s="3" t="n">
        <v>1</v>
      </c>
      <c r="AH10" s="7" t="inlineStr">
        <is>
          <t>Maisonnette-Berck</t>
        </is>
      </c>
      <c r="AI10" s="12" t="inlineStr">
        <is>
          <t>To check</t>
        </is>
      </c>
      <c r="AJ10" s="8" t="n">
        <v>15</v>
      </c>
      <c r="AK10" s="8" t="inlineStr">
        <is>
          <t>Oui</t>
        </is>
      </c>
      <c r="AL10" s="8" t="inlineStr">
        <is>
          <t>Oui</t>
        </is>
      </c>
      <c r="AM10" s="8" t="inlineStr">
        <is>
          <t>Oui (sur demande)</t>
        </is>
      </c>
      <c r="AN10" s="8" t="inlineStr">
        <is>
          <t>Non</t>
        </is>
      </c>
      <c r="AO10" s="9" t="inlineStr">
        <is>
          <t>Non</t>
        </is>
      </c>
      <c r="AP10" s="9" t="inlineStr">
        <is>
          <t>Christelle</t>
        </is>
      </c>
      <c r="AQ10" s="9" t="inlineStr">
        <is>
          <t>LMP</t>
        </is>
      </c>
      <c r="AR10" s="9" t="n">
        <v>6</v>
      </c>
      <c r="AS10" s="10" t="inlineStr">
        <is>
          <t>Lieu : Poubelles dans la cour de l'immeuble_x000D_
Bacs : Gris (1 grande poubelle dédiée à votre appartement, ordures ménagères) + Jaune (cartons et bouteilles plastiques uniquement)_x000D_
Verre : Conteneur à verre au parking, à la jonction du Dr Calot et du bd de Boulogne (~150 m). Prendre la rue des Sables le long de l'appart, au bout tourner à gauche.</t>
        </is>
      </c>
      <c r="AT10" s="13" t="n">
        <v>300</v>
      </c>
      <c r="AU10" s="13" t="inlineStr">
        <is>
          <t>Standard</t>
        </is>
      </c>
      <c r="AV10" s="24" t="inlineStr">
        <is>
          <t>À définir</t>
        </is>
      </c>
      <c r="AW10" s="24" t="inlineStr">
        <is>
          <t>À définir</t>
        </is>
      </c>
      <c r="AX10" s="13" t="inlineStr">
        <is>
          <t>—</t>
        </is>
      </c>
      <c r="AY10" s="27" t="inlineStr">
        <is>
          <t>OUI</t>
        </is>
      </c>
      <c r="AZ10" s="28" t="n">
        <v>20</v>
      </c>
      <c r="BA10" t="inlineStr">
        <is>
          <t>https://claudine-design.github.io/enquete-berck/checklist-menage/?appart=maisonnette</t>
        </is>
      </c>
      <c r="BB10" s="61" t="inlineStr">
        <is>
          <t>https://www.airbnb.fr/rooms/1264610425380619368</t>
        </is>
      </c>
      <c r="BC10" s="61" t="inlineStr">
        <is>
          <t>https://www.booking.com/hotel/fr/le-coeur-des-sables-berck.fr.html</t>
        </is>
      </c>
      <c r="BD10" s="32" t="n">
        <v>4.29</v>
      </c>
      <c r="BE10" s="32" t="n">
        <v>24</v>
      </c>
      <c r="BF10" s="32" t="n">
        <v>8.300000000000001</v>
      </c>
      <c r="BG10" s="32" t="n">
        <v>13</v>
      </c>
      <c r="BH10" s="32">
        <f>IF(AND(ISNUMBER(BD10),BD10&gt;=4.9),20,0)+IF(AND(ISNUMBER(BF10),BF10&gt;=9.0),20,0)</f>
        <v/>
      </c>
    </row>
    <row r="11" ht="75" customHeight="1">
      <c r="A11" s="17" t="n">
        <v>10</v>
      </c>
      <c r="B11" s="17" t="inlineStr">
        <is>
          <t>facemer</t>
        </is>
      </c>
      <c r="C11" s="17" t="inlineStr">
        <is>
          <t>Face Mer</t>
        </is>
      </c>
      <c r="D11" s="17" t="inlineStr">
        <is>
          <t>Face Mer Esplanade</t>
        </is>
      </c>
      <c r="E11" s="17" t="inlineStr">
        <is>
          <t>1 rue de la Plage, 62600 Berck</t>
        </is>
      </c>
      <c r="F11" s="17" t="inlineStr">
        <is>
          <t>Face Mer</t>
        </is>
      </c>
      <c r="G11" s="2" t="inlineStr">
        <is>
          <t>esplanade</t>
        </is>
      </c>
      <c r="H11" s="2" t="inlineStr">
        <is>
          <t>T2</t>
        </is>
      </c>
      <c r="I11" s="12" t="inlineStr">
        <is>
          <t>43 m²</t>
        </is>
      </c>
      <c r="J11" s="12" t="inlineStr">
        <is>
          <t>4 couchages · chambre : 2 lits simples 80 · canapé convertible 140 dans le salon</t>
        </is>
      </c>
      <c r="K11" s="3" t="inlineStr">
        <is>
          <t>2e étage</t>
        </is>
      </c>
      <c r="L11" s="3" t="inlineStr">
        <is>
          <t>Non</t>
        </is>
      </c>
      <c r="M11" s="3" t="inlineStr">
        <is>
          <t>Dans la rue</t>
        </is>
      </c>
      <c r="N11" s="11" t="n"/>
      <c r="O11" s="4" t="inlineStr">
        <is>
          <t>Voir la vidéo</t>
        </is>
      </c>
      <c r="P11" s="5" t="inlineStr">
        <is>
          <t>Vitro-céramique</t>
        </is>
      </c>
      <c r="Q11" s="5" t="inlineStr">
        <is>
          <t>Frigo + congélateur séparé</t>
        </is>
      </c>
      <c r="R11" s="5" t="inlineStr">
        <is>
          <t>Senseo + filtre</t>
        </is>
      </c>
      <c r="S11" s="5" t="inlineStr">
        <is>
          <t>Oui</t>
        </is>
      </c>
      <c r="T11" s="5" t="inlineStr">
        <is>
          <t>Oui</t>
        </is>
      </c>
      <c r="U11" s="5" t="inlineStr">
        <is>
          <t>Oui (assiettes, verres, casserole, poêle, plat à tarte)</t>
        </is>
      </c>
      <c r="V11" s="6" t="inlineStr">
        <is>
          <t>Oui (hypoallergénique, OK enfants)</t>
        </is>
      </c>
      <c r="W11" s="6" t="inlineStr">
        <is>
          <t>Oui</t>
        </is>
      </c>
      <c r="X11" s="6" t="inlineStr">
        <is>
          <t>Oui</t>
        </is>
      </c>
      <c r="Y11" s="6" t="inlineStr">
        <is>
          <t>Non</t>
        </is>
      </c>
      <c r="Z11" s="6" t="inlineStr">
        <is>
          <t>Oui</t>
        </is>
      </c>
      <c r="AA11" s="6" t="inlineStr">
        <is>
          <t>Non</t>
        </is>
      </c>
      <c r="AB11" s="3" t="inlineStr">
        <is>
          <t>Non</t>
        </is>
      </c>
      <c r="AC11" s="3" t="inlineStr">
        <is>
          <t>Oui (vue mer)</t>
        </is>
      </c>
      <c r="AD11" s="3" t="inlineStr">
        <is>
          <t>Non</t>
        </is>
      </c>
      <c r="AE11" s="3" t="inlineStr">
        <is>
          <t>Non</t>
        </is>
      </c>
      <c r="AF11" s="3" t="inlineStr">
        <is>
          <t>Molotov standard</t>
        </is>
      </c>
      <c r="AG11" s="3" t="n">
        <v>1</v>
      </c>
      <c r="AH11" s="7" t="inlineStr">
        <is>
          <t>SFR_39E8</t>
        </is>
      </c>
      <c r="AI11" s="7" t="inlineStr">
        <is>
          <t>facemercentreesplanade</t>
        </is>
      </c>
      <c r="AJ11" s="8" t="n">
        <v>15</v>
      </c>
      <c r="AK11" s="8" t="inlineStr">
        <is>
          <t>Non (en option)</t>
        </is>
      </c>
      <c r="AL11" s="8" t="inlineStr">
        <is>
          <t>Oui</t>
        </is>
      </c>
      <c r="AM11" s="8" t="inlineStr">
        <is>
          <t>Oui (sur demande)</t>
        </is>
      </c>
      <c r="AN11" s="8" t="inlineStr">
        <is>
          <t>✅ Lit bébé + chaise haute</t>
        </is>
      </c>
      <c r="AO11" s="9" t="inlineStr">
        <is>
          <t>Non</t>
        </is>
      </c>
      <c r="AP11" s="9" t="inlineStr">
        <is>
          <t>Christelle</t>
        </is>
      </c>
      <c r="AQ11" s="9" t="inlineStr">
        <is>
          <t>LMP</t>
        </is>
      </c>
      <c r="AR11" s="9" t="n">
        <v>6</v>
      </c>
      <c r="AS11" s="10" t="inlineStr">
        <is>
          <t>Lieu : Containers enterrés sur l'esplanade, juste en face de l'appartement_x000D_
Chemin : En sortant de l'immeuble, les containers enterrés sont visibles directement en face. Pour vous repérer : la cour à l'arrière de l'appartement est observable depuis la fenêtre de votre chambre._x000D_
Bacs : Gris (ordures ménagères) + Jaune (emballages, plastiques, papiers)</t>
        </is>
      </c>
      <c r="AT11" s="13" t="n">
        <v>500</v>
      </c>
      <c r="AU11" s="13" t="inlineStr">
        <is>
          <t>Prestige</t>
        </is>
      </c>
      <c r="AV11" s="24" t="inlineStr">
        <is>
          <t>À définir</t>
        </is>
      </c>
      <c r="AW11" s="24" t="inlineStr">
        <is>
          <t>À définir</t>
        </is>
      </c>
      <c r="AX11" s="25" t="n">
        <v>15</v>
      </c>
      <c r="AY11" s="26" t="inlineStr">
        <is>
          <t>NON</t>
        </is>
      </c>
      <c r="AZ11" s="28" t="n">
        <v>20</v>
      </c>
      <c r="BA11" t="inlineStr">
        <is>
          <t>https://claudine-design.github.io/enquete-berck/checklist-menage/?appart=face-mer</t>
        </is>
      </c>
      <c r="BB11" s="61" t="inlineStr">
        <is>
          <t>https://www.airbnb.fr/rooms/33525870</t>
        </is>
      </c>
      <c r="BC11" s="61" t="inlineStr">
        <is>
          <t>https://www.booking.com/hotel/fr/face-mer-centre-de-l-39-esplanade.fr.html</t>
        </is>
      </c>
      <c r="BD11" s="35" t="n">
        <v>4.89</v>
      </c>
      <c r="BE11" s="32" t="n">
        <v>185</v>
      </c>
      <c r="BF11" s="35" t="n">
        <v>8.9</v>
      </c>
      <c r="BG11" s="32" t="n">
        <v>77</v>
      </c>
      <c r="BH11" s="32">
        <f>IF(AND(ISNUMBER(BD11),BD11&gt;=4.9),20,0)+IF(AND(ISNUMBER(BF11),BF11&gt;=9.0),20,0)</f>
        <v/>
      </c>
    </row>
    <row r="12" ht="37.5" customHeight="1">
      <c r="A12" s="18" t="n">
        <v>11</v>
      </c>
      <c r="B12" s="18" t="inlineStr">
        <is>
          <t>grandlarge</t>
        </is>
      </c>
      <c r="C12" s="18" t="inlineStr">
        <is>
          <t>Grand Large</t>
        </is>
      </c>
      <c r="D12" s="18" t="inlineStr">
        <is>
          <t>Hamac Face Mer</t>
        </is>
      </c>
      <c r="E12" s="18" t="inlineStr">
        <is>
          <t>45 Esplanade Parmentier, 62600 Berck</t>
        </is>
      </c>
      <c r="F12" s="18" t="inlineStr">
        <is>
          <t>Grand Large</t>
        </is>
      </c>
      <c r="G12" s="2" t="inlineStr">
        <is>
          <t>esplanade</t>
        </is>
      </c>
      <c r="H12" s="2" t="inlineStr">
        <is>
          <t>T2</t>
        </is>
      </c>
      <c r="I12" s="3" t="inlineStr">
        <is>
          <t>38 m²</t>
        </is>
      </c>
      <c r="J12" s="3" t="inlineStr">
        <is>
          <t>4 couchages · chambre 160×200 · canapé convertible 140×190</t>
        </is>
      </c>
      <c r="K12" s="3" t="inlineStr">
        <is>
          <t>3e étage</t>
        </is>
      </c>
      <c r="L12" s="3" t="inlineStr">
        <is>
          <t>Non</t>
        </is>
      </c>
      <c r="M12" s="3" t="inlineStr">
        <is>
          <t>Dans la rue</t>
        </is>
      </c>
      <c r="N12" s="4" t="inlineStr">
        <is>
          <t>Voir la vidéo</t>
        </is>
      </c>
      <c r="O12" s="4" t="inlineStr">
        <is>
          <t>Voir la vidéo</t>
        </is>
      </c>
      <c r="P12" s="5" t="inlineStr">
        <is>
          <t>Vitro-céramique</t>
        </is>
      </c>
      <c r="Q12" s="5" t="inlineStr">
        <is>
          <t>Compartiment freezer</t>
        </is>
      </c>
      <c r="R12" s="5" t="inlineStr">
        <is>
          <t>Senseo + filtre</t>
        </is>
      </c>
      <c r="S12" s="5" t="inlineStr">
        <is>
          <t>Oui</t>
        </is>
      </c>
      <c r="T12" s="5" t="inlineStr">
        <is>
          <t>Oui</t>
        </is>
      </c>
      <c r="U12" s="5" t="inlineStr">
        <is>
          <t>Oui (assiettes, verres, casserole, poêle, plat à tarte)</t>
        </is>
      </c>
      <c r="V12" s="6" t="inlineStr">
        <is>
          <t>Oui (hypoallergénique, OK enfants)</t>
        </is>
      </c>
      <c r="W12" s="6" t="inlineStr">
        <is>
          <t>Oui</t>
        </is>
      </c>
      <c r="X12" s="6" t="inlineStr">
        <is>
          <t>Oui</t>
        </is>
      </c>
      <c r="Y12" s="6" t="inlineStr">
        <is>
          <t>Non</t>
        </is>
      </c>
      <c r="Z12" s="6" t="inlineStr">
        <is>
          <t>Oui</t>
        </is>
      </c>
      <c r="AA12" s="6" t="inlineStr">
        <is>
          <t>Non</t>
        </is>
      </c>
      <c r="AB12" s="3" t="inlineStr">
        <is>
          <t>Non</t>
        </is>
      </c>
      <c r="AC12" s="3" t="inlineStr">
        <is>
          <t>Oui (hamac)</t>
        </is>
      </c>
      <c r="AD12" s="3" t="inlineStr">
        <is>
          <t>Non</t>
        </is>
      </c>
      <c r="AE12" s="3" t="inlineStr">
        <is>
          <t>Non</t>
        </is>
      </c>
      <c r="AF12" s="3" t="inlineStr">
        <is>
          <t>Molotov standard</t>
        </is>
      </c>
      <c r="AG12" s="3" t="n">
        <v>1</v>
      </c>
      <c r="AH12" s="7" t="inlineStr">
        <is>
          <t>TP link D1EE</t>
        </is>
      </c>
      <c r="AI12" s="7" t="n">
        <v>74817733</v>
      </c>
      <c r="AJ12" s="8" t="n">
        <v>15</v>
      </c>
      <c r="AK12" s="8" t="inlineStr">
        <is>
          <t>Non (en option)</t>
        </is>
      </c>
      <c r="AL12" s="8" t="inlineStr">
        <is>
          <t>Oui</t>
        </is>
      </c>
      <c r="AM12" s="8" t="inlineStr">
        <is>
          <t>Oui (sur demande)</t>
        </is>
      </c>
      <c r="AN12" s="8" t="inlineStr">
        <is>
          <t>Non</t>
        </is>
      </c>
      <c r="AO12" s="9" t="inlineStr">
        <is>
          <t>Non</t>
        </is>
      </c>
      <c r="AP12" s="9" t="inlineStr">
        <is>
          <t>Christelle</t>
        </is>
      </c>
      <c r="AQ12" s="9" t="inlineStr">
        <is>
          <t>SAS Maréchal Invest</t>
        </is>
      </c>
      <c r="AR12" s="9" t="n">
        <v>0</v>
      </c>
      <c r="AS12" s="10" t="inlineStr">
        <is>
          <t>Lieu : Containers municipaux à l'arrière de l'immeuble, au milieu du parking_x000D_
Bacs : Gris (ordures ménagères) + Jaune (emballages, plastiques, papiers)</t>
        </is>
      </c>
      <c r="AT12" s="13" t="n">
        <v>500</v>
      </c>
      <c r="AU12" s="13" t="inlineStr">
        <is>
          <t>Prestige</t>
        </is>
      </c>
      <c r="AV12" s="24" t="inlineStr">
        <is>
          <t>À définir</t>
        </is>
      </c>
      <c r="AW12" s="24" t="inlineStr">
        <is>
          <t>À définir</t>
        </is>
      </c>
      <c r="AX12" s="25" t="n">
        <v>15</v>
      </c>
      <c r="AY12" s="26" t="inlineStr">
        <is>
          <t>NON</t>
        </is>
      </c>
      <c r="AZ12" s="28" t="n">
        <v>20</v>
      </c>
      <c r="BA12" t="inlineStr">
        <is>
          <t>https://claudine-design.github.io/enquete-berck/checklist-menage/?appart=grand-large</t>
        </is>
      </c>
      <c r="BB12" s="61" t="inlineStr">
        <is>
          <t>https://www.airbnb.fr/rooms/856476288197321310</t>
        </is>
      </c>
      <c r="BC12" s="61" t="inlineStr">
        <is>
          <t>https://www.booking.com/hotel/fr/hamac-face-mer.fr.html</t>
        </is>
      </c>
      <c r="BD12" s="32" t="inlineStr">
        <is>
          <t>—</t>
        </is>
      </c>
      <c r="BE12" s="32" t="n">
        <v>0</v>
      </c>
      <c r="BF12" s="35" t="n">
        <v>8.800000000000001</v>
      </c>
      <c r="BG12" s="32" t="n">
        <v>62</v>
      </c>
      <c r="BH12" s="32">
        <f>IF(AND(ISNUMBER(BD12),BD12&gt;=4.9),20,0)+IF(AND(ISNUMBER(BF12),BF12&gt;=9.0),20,0)</f>
        <v/>
      </c>
    </row>
    <row r="13" ht="37.5" customHeight="1">
      <c r="A13" s="19" t="n">
        <v>12</v>
      </c>
      <c r="B13" s="19" t="inlineStr">
        <is>
          <t>apolove</t>
        </is>
      </c>
      <c r="C13" s="19" t="inlineStr">
        <is>
          <t>Apolove</t>
        </is>
      </c>
      <c r="D13" s="19" t="inlineStr">
        <is>
          <t>Suite Romantique Face Mer</t>
        </is>
      </c>
      <c r="E13" s="19" t="inlineStr">
        <is>
          <t>2 Avenue Marianne (studio), 62600 Berck</t>
        </is>
      </c>
      <c r="F13" s="19" t="inlineStr">
        <is>
          <t>Apollo</t>
        </is>
      </c>
      <c r="G13" s="2" t="inlineStr">
        <is>
          <t>esplanade</t>
        </is>
      </c>
      <c r="H13" s="2" t="inlineStr">
        <is>
          <t>Studio</t>
        </is>
      </c>
      <c r="I13" s="3" t="inlineStr">
        <is>
          <t>25 m²</t>
        </is>
      </c>
      <c r="J13" s="3" t="inlineStr">
        <is>
          <t>2 couchages · chambre 160×200</t>
        </is>
      </c>
      <c r="K13" s="3" t="inlineStr">
        <is>
          <t>5e étage</t>
        </is>
      </c>
      <c r="L13" s="3" t="inlineStr">
        <is>
          <t>Oui</t>
        </is>
      </c>
      <c r="M13" s="3" t="inlineStr">
        <is>
          <t>✅ Parking couvert n°206 inclus (résidence Albatros, rue Saint-Louis)</t>
        </is>
      </c>
      <c r="N13" s="4" t="inlineStr">
        <is>
          <t>Voir la vidéo</t>
        </is>
      </c>
      <c r="O13" s="4" t="inlineStr">
        <is>
          <t>Voir la vidéo</t>
        </is>
      </c>
      <c r="P13" s="5" t="inlineStr">
        <is>
          <t>Vitro-céramique</t>
        </is>
      </c>
      <c r="Q13" s="5" t="inlineStr">
        <is>
          <t>Compartiment freezer</t>
        </is>
      </c>
      <c r="R13" s="5" t="inlineStr">
        <is>
          <t>Senseo + filtre</t>
        </is>
      </c>
      <c r="S13" s="5" t="inlineStr">
        <is>
          <t>Oui</t>
        </is>
      </c>
      <c r="T13" s="5" t="inlineStr">
        <is>
          <t>Oui</t>
        </is>
      </c>
      <c r="U13" s="5" t="inlineStr">
        <is>
          <t>Oui (assiettes, verres, casserole, poêle, plat à tarte)</t>
        </is>
      </c>
      <c r="V13" s="6" t="inlineStr">
        <is>
          <t>Oui (hypoallergénique, OK enfants)</t>
        </is>
      </c>
      <c r="W13" s="6" t="inlineStr">
        <is>
          <t>Non</t>
        </is>
      </c>
      <c r="X13" s="6" t="inlineStr">
        <is>
          <t>Oui</t>
        </is>
      </c>
      <c r="Y13" s="6" t="inlineStr">
        <is>
          <t>Oui</t>
        </is>
      </c>
      <c r="Z13" s="6" t="inlineStr">
        <is>
          <t>Oui</t>
        </is>
      </c>
      <c r="AA13" s="22" t="inlineStr">
        <is>
          <t>Indra Wave (compact, 2 personnes face à face)</t>
        </is>
      </c>
      <c r="AB13" s="3" t="inlineStr">
        <is>
          <t>Non</t>
        </is>
      </c>
      <c r="AC13" s="3" t="inlineStr">
        <is>
          <t>Oui</t>
        </is>
      </c>
      <c r="AD13" s="3" t="inlineStr">
        <is>
          <t>Non</t>
        </is>
      </c>
      <c r="AE13" s="3" t="inlineStr">
        <is>
          <t>Non</t>
        </is>
      </c>
      <c r="AF13" s="3" t="inlineStr">
        <is>
          <t>Molotov standard</t>
        </is>
      </c>
      <c r="AG13" s="3" t="n">
        <v>1</v>
      </c>
      <c r="AH13" s="7" t="inlineStr">
        <is>
          <t>suite2</t>
        </is>
      </c>
      <c r="AI13" s="7" t="inlineStr">
        <is>
          <t>2Avmarianne</t>
        </is>
      </c>
      <c r="AJ13" s="8" t="n">
        <v>20</v>
      </c>
      <c r="AK13" s="8" t="inlineStr">
        <is>
          <t>Oui</t>
        </is>
      </c>
      <c r="AL13" s="8" t="inlineStr">
        <is>
          <t>Oui</t>
        </is>
      </c>
      <c r="AM13" s="8" t="inlineStr">
        <is>
          <t>❌ Interdits</t>
        </is>
      </c>
      <c r="AN13" s="8" t="inlineStr">
        <is>
          <t>Non</t>
        </is>
      </c>
      <c r="AO13" s="9" t="inlineStr">
        <is>
          <t>Non</t>
        </is>
      </c>
      <c r="AP13" s="9" t="inlineStr">
        <is>
          <t>Clara</t>
        </is>
      </c>
      <c r="AQ13" s="9" t="inlineStr">
        <is>
          <t>SAS Maréchal Invest</t>
        </is>
      </c>
      <c r="AR13" s="9" t="n">
        <v>6</v>
      </c>
      <c r="AS13" s="10" t="inlineStr">
        <is>
          <t>Lieu : Containers dans la cour à l'arrière de l'immeuble_x000D_
Bacs : Gris (ordures ménagères) + Jaune (emballages, plastiques, papiers)</t>
        </is>
      </c>
      <c r="AT13" s="13" t="n">
        <v>600</v>
      </c>
      <c r="AU13" s="13" t="inlineStr">
        <is>
          <t>Balnéo</t>
        </is>
      </c>
      <c r="AV13" s="24" t="inlineStr">
        <is>
          <t>À définir</t>
        </is>
      </c>
      <c r="AW13" s="24" t="inlineStr">
        <is>
          <t>À définir</t>
        </is>
      </c>
      <c r="AX13" s="13" t="inlineStr">
        <is>
          <t>—</t>
        </is>
      </c>
      <c r="AY13" s="27" t="inlineStr">
        <is>
          <t>OUI</t>
        </is>
      </c>
      <c r="AZ13" s="13" t="inlineStr">
        <is>
          <t>—</t>
        </is>
      </c>
      <c r="BA13" t="inlineStr">
        <is>
          <t>https://claudine-design.github.io/enquete-berck/checklist-menage/?appart=apolove</t>
        </is>
      </c>
      <c r="BB13" s="60" t="n"/>
      <c r="BC13" s="60" t="inlineStr">
        <is>
          <t>https://www.booking.com/hotel/fr/romantique-face-mer.fr.html</t>
        </is>
      </c>
      <c r="BD13" s="32" t="n"/>
      <c r="BE13" s="32" t="n"/>
      <c r="BF13" s="32" t="n">
        <v>8.9</v>
      </c>
      <c r="BG13" s="32" t="n">
        <v>37</v>
      </c>
      <c r="BH13" s="32">
        <f>IF(AND(ISNUMBER(BD13),BD13&gt;=4.9),20,0)+IF(AND(ISNUMBER(BF13),BF13&gt;=9.0),20,0)</f>
        <v/>
      </c>
    </row>
    <row r="14" ht="37.5" customHeight="1">
      <c r="A14" s="19" t="n">
        <v>13</v>
      </c>
      <c r="B14" s="19" t="inlineStr">
        <is>
          <t>apollo</t>
        </is>
      </c>
      <c r="C14" s="19" t="inlineStr">
        <is>
          <t>Apollo</t>
        </is>
      </c>
      <c r="D14" s="19" t="inlineStr">
        <is>
          <t>Panoramique 2 Chambres</t>
        </is>
      </c>
      <c r="E14" s="19" t="inlineStr">
        <is>
          <t>2 Avenue Marianne (T3), 62600 Berck</t>
        </is>
      </c>
      <c r="F14" s="19" t="inlineStr">
        <is>
          <t>Apollo</t>
        </is>
      </c>
      <c r="G14" s="2" t="inlineStr">
        <is>
          <t>esplanade</t>
        </is>
      </c>
      <c r="H14" s="2" t="inlineStr">
        <is>
          <t>T3</t>
        </is>
      </c>
      <c r="I14" s="3" t="inlineStr">
        <is>
          <t>53 m²</t>
        </is>
      </c>
      <c r="J14" s="3" t="inlineStr">
        <is>
          <t>6 couchages · 2 chambres 160×200 · canapé 140×190</t>
        </is>
      </c>
      <c r="K14" s="3" t="inlineStr">
        <is>
          <t>1er étage</t>
        </is>
      </c>
      <c r="L14" s="3" t="inlineStr">
        <is>
          <t>Oui</t>
        </is>
      </c>
      <c r="M14" s="3" t="inlineStr">
        <is>
          <t>✅ Parking n°502 inclus (portail avec bip)</t>
        </is>
      </c>
      <c r="N14" s="11" t="n"/>
      <c r="O14" s="4" t="inlineStr">
        <is>
          <t>Voir la vidéo</t>
        </is>
      </c>
      <c r="P14" s="5" t="inlineStr">
        <is>
          <t>Vitro-céramique</t>
        </is>
      </c>
      <c r="Q14" s="5" t="inlineStr">
        <is>
          <t>Frigo américain (congélateur intégré)</t>
        </is>
      </c>
      <c r="R14" s="5" t="inlineStr">
        <is>
          <t>Senseo + filtre</t>
        </is>
      </c>
      <c r="S14" s="5" t="inlineStr">
        <is>
          <t>Oui</t>
        </is>
      </c>
      <c r="T14" s="5" t="inlineStr">
        <is>
          <t>Oui</t>
        </is>
      </c>
      <c r="U14" s="5" t="inlineStr">
        <is>
          <t>Oui (assiettes, verres, casserole, poêle, plat à tarte)</t>
        </is>
      </c>
      <c r="V14" s="6" t="inlineStr">
        <is>
          <t>Oui (hypoallergénique, OK enfants)</t>
        </is>
      </c>
      <c r="W14" s="6" t="inlineStr">
        <is>
          <t>Oui</t>
        </is>
      </c>
      <c r="X14" s="6" t="inlineStr">
        <is>
          <t>Oui</t>
        </is>
      </c>
      <c r="Y14" s="6" t="inlineStr">
        <is>
          <t>Non</t>
        </is>
      </c>
      <c r="Z14" s="6" t="inlineStr">
        <is>
          <t>Oui</t>
        </is>
      </c>
      <c r="AA14" s="6" t="inlineStr">
        <is>
          <t>Non</t>
        </is>
      </c>
      <c r="AB14" s="3" t="inlineStr">
        <is>
          <t>Non</t>
        </is>
      </c>
      <c r="AC14" s="3" t="inlineStr">
        <is>
          <t>Oui (vue panoramique)</t>
        </is>
      </c>
      <c r="AD14" s="3" t="inlineStr">
        <is>
          <t>Non</t>
        </is>
      </c>
      <c r="AE14" s="3" t="inlineStr">
        <is>
          <t>Non</t>
        </is>
      </c>
      <c r="AF14" s="3" t="inlineStr">
        <is>
          <t>Molotov standard</t>
        </is>
      </c>
      <c r="AG14" s="3" t="n">
        <v>1</v>
      </c>
      <c r="AH14" s="7" t="inlineStr">
        <is>
          <t>TP link DODO</t>
        </is>
      </c>
      <c r="AI14" s="7" t="n">
        <v>15246653</v>
      </c>
      <c r="AJ14" s="8" t="n">
        <v>20</v>
      </c>
      <c r="AK14" s="8" t="inlineStr">
        <is>
          <t>Oui</t>
        </is>
      </c>
      <c r="AL14" s="8" t="inlineStr">
        <is>
          <t>Oui</t>
        </is>
      </c>
      <c r="AM14" s="8" t="inlineStr">
        <is>
          <t>Oui (sur demande)</t>
        </is>
      </c>
      <c r="AN14" s="8" t="inlineStr">
        <is>
          <t>Non</t>
        </is>
      </c>
      <c r="AO14" s="9" t="inlineStr">
        <is>
          <t>Non</t>
        </is>
      </c>
      <c r="AP14" s="9" t="inlineStr">
        <is>
          <t>Clara</t>
        </is>
      </c>
      <c r="AQ14" s="9" t="inlineStr">
        <is>
          <t>SAS Maréchal Invest</t>
        </is>
      </c>
      <c r="AR14" s="9" t="n">
        <v>0</v>
      </c>
      <c r="AS14" s="10" t="inlineStr">
        <is>
          <t>Lieu : Containers dans la cour à l'arrière de l'immeuble_x000D_
Bacs : Gris (ordures ménagères) + Jaune (emballages, plastiques, papiers)</t>
        </is>
      </c>
      <c r="AT14" s="13" t="n">
        <v>600</v>
      </c>
      <c r="AU14" s="13" t="inlineStr">
        <is>
          <t>Gros appart</t>
        </is>
      </c>
      <c r="AV14" s="24" t="inlineStr">
        <is>
          <t>À définir</t>
        </is>
      </c>
      <c r="AW14" s="24" t="inlineStr">
        <is>
          <t>À définir</t>
        </is>
      </c>
      <c r="AX14" s="13" t="inlineStr">
        <is>
          <t>—</t>
        </is>
      </c>
      <c r="AY14" s="27" t="inlineStr">
        <is>
          <t>OUI</t>
        </is>
      </c>
      <c r="AZ14" s="28" t="n">
        <v>20</v>
      </c>
      <c r="BA14" t="inlineStr">
        <is>
          <t>https://claudine-design.github.io/enquete-berck/checklist-menage/?appart=apollo</t>
        </is>
      </c>
      <c r="BB14" s="61" t="inlineStr">
        <is>
          <t>https://www.airbnb.fr/rooms/1136655909198126906</t>
        </is>
      </c>
      <c r="BC14" s="60" t="inlineStr">
        <is>
          <t>https://www.booking.com/hotel/fr/vue-mer-panoramique-2-chambres.fr.html</t>
        </is>
      </c>
      <c r="BD14" s="32" t="n">
        <v>4.76</v>
      </c>
      <c r="BE14" s="32" t="n">
        <v>82</v>
      </c>
      <c r="BF14" s="32" t="n">
        <v>8.1</v>
      </c>
      <c r="BG14" s="32" t="n">
        <v>26</v>
      </c>
      <c r="BH14" s="32" t="n">
        <v>0</v>
      </c>
    </row>
    <row r="15" ht="100" customHeight="1">
      <c r="A15" s="19" t="n">
        <v>14</v>
      </c>
      <c r="B15" s="19" t="inlineStr">
        <is>
          <t>kingston</t>
        </is>
      </c>
      <c r="C15" s="19" t="inlineStr">
        <is>
          <t>Kingston</t>
        </is>
      </c>
      <c r="D15" s="19" t="inlineStr">
        <is>
          <t>Face Mer Exceptionnel</t>
        </is>
      </c>
      <c r="E15" s="19" t="inlineStr">
        <is>
          <t>2 Avenue Marianne (appt 16, RDC), 62600 Berck</t>
        </is>
      </c>
      <c r="F15" s="19" t="inlineStr">
        <is>
          <t>Apollo</t>
        </is>
      </c>
      <c r="G15" s="2" t="inlineStr">
        <is>
          <t>esplanade</t>
        </is>
      </c>
      <c r="H15" s="2" t="inlineStr">
        <is>
          <t>Studio</t>
        </is>
      </c>
      <c r="I15" s="3" t="inlineStr">
        <is>
          <t>47 m²</t>
        </is>
      </c>
      <c r="J15" s="3" t="inlineStr">
        <is>
          <t>4 couchages · canapé lit 160</t>
        </is>
      </c>
      <c r="K15" s="3" t="inlineStr">
        <is>
          <t>RDC</t>
        </is>
      </c>
      <c r="L15" s="3" t="inlineStr">
        <is>
          <t>Non</t>
        </is>
      </c>
      <c r="M15" s="3" t="inlineStr">
        <is>
          <t>✅ Parking n°16 inclus (juste devant)</t>
        </is>
      </c>
      <c r="N15" s="11" t="n"/>
      <c r="O15" s="4" t="inlineStr">
        <is>
          <t>Voir la vidéo</t>
        </is>
      </c>
      <c r="P15" s="5" t="inlineStr">
        <is>
          <t>Vitro-céramique</t>
        </is>
      </c>
      <c r="Q15" s="5" t="inlineStr">
        <is>
          <t>Frigo + congélateur séparé</t>
        </is>
      </c>
      <c r="R15" s="5" t="inlineStr">
        <is>
          <t>Senseo</t>
        </is>
      </c>
      <c r="S15" s="5" t="inlineStr">
        <is>
          <t>Oui</t>
        </is>
      </c>
      <c r="T15" s="5" t="inlineStr">
        <is>
          <t>Oui</t>
        </is>
      </c>
      <c r="U15" s="5" t="inlineStr">
        <is>
          <t>Oui (assiettes, verres, casserole, poêle, plat à tarte)</t>
        </is>
      </c>
      <c r="V15" s="6" t="inlineStr">
        <is>
          <t>Oui (hypoallergénique, OK enfants)</t>
        </is>
      </c>
      <c r="W15" s="6" t="inlineStr">
        <is>
          <t>Oui</t>
        </is>
      </c>
      <c r="X15" s="6" t="inlineStr">
        <is>
          <t>Non</t>
        </is>
      </c>
      <c r="Y15" s="6" t="inlineStr">
        <is>
          <t>Oui</t>
        </is>
      </c>
      <c r="Z15" s="6" t="inlineStr">
        <is>
          <t>Non</t>
        </is>
      </c>
      <c r="AA15" s="6" t="inlineStr">
        <is>
          <t>Non</t>
        </is>
      </c>
      <c r="AB15" s="3" t="inlineStr">
        <is>
          <t>Non</t>
        </is>
      </c>
      <c r="AC15" s="3" t="inlineStr">
        <is>
          <t>Oui</t>
        </is>
      </c>
      <c r="AD15" s="3" t="inlineStr">
        <is>
          <t>Non</t>
        </is>
      </c>
      <c r="AE15" s="3" t="inlineStr">
        <is>
          <t>Non</t>
        </is>
      </c>
      <c r="AF15" s="3" t="inlineStr">
        <is>
          <t>Molotov standard</t>
        </is>
      </c>
      <c r="AG15" s="3" t="n">
        <v>1</v>
      </c>
      <c r="AH15" s="7" t="inlineStr">
        <is>
          <t>TP-LINK -B2A5</t>
        </is>
      </c>
      <c r="AI15" s="7" t="n">
        <v>82562328</v>
      </c>
      <c r="AJ15" s="8" t="n">
        <v>20</v>
      </c>
      <c r="AK15" s="8" t="inlineStr">
        <is>
          <t>Oui</t>
        </is>
      </c>
      <c r="AL15" s="8" t="inlineStr">
        <is>
          <t>Oui</t>
        </is>
      </c>
      <c r="AM15" s="8" t="inlineStr">
        <is>
          <t>Oui (sur demande)</t>
        </is>
      </c>
      <c r="AN15" s="8" t="inlineStr">
        <is>
          <t>Non</t>
        </is>
      </c>
      <c r="AO15" s="9" t="inlineStr">
        <is>
          <t>Non</t>
        </is>
      </c>
      <c r="AP15" s="9" t="inlineStr">
        <is>
          <t>Clara</t>
        </is>
      </c>
      <c r="AQ15" s="9" t="inlineStr">
        <is>
          <t>SCI</t>
        </is>
      </c>
      <c r="AR15" s="9" t="n">
        <v>1</v>
      </c>
      <c r="AS15" s="10" t="inlineStr">
        <is>
          <t>Lieu : Cour à l'arrière de la résidence — containers gris et jaunes_x000D_
Chemin : Prenez le petit vigik fixé à votre trousseau de clés, contournez le parking pour entrer dans l'immeuble de la résidence. La cour avec les containers se trouve à l'arrière._x000D_
Bacs : Gris (ordures ménagères) + Jaune (emballages, plastiques, papiers)_x000D_
Alternative : Vous pouvez aussi simplement utiliser les containers enterrés sur l'esplanade, juste en face de l'appartement.</t>
        </is>
      </c>
      <c r="AT15" s="13" t="n">
        <v>300</v>
      </c>
      <c r="AU15" s="13" t="inlineStr">
        <is>
          <t>Standard</t>
        </is>
      </c>
      <c r="AV15" s="24" t="inlineStr">
        <is>
          <t>À définir</t>
        </is>
      </c>
      <c r="AW15" s="24" t="inlineStr">
        <is>
          <t>À définir</t>
        </is>
      </c>
      <c r="AX15" s="13" t="inlineStr">
        <is>
          <t>—</t>
        </is>
      </c>
      <c r="AY15" s="27" t="inlineStr">
        <is>
          <t>OUI</t>
        </is>
      </c>
      <c r="AZ15" s="28" t="n">
        <v>20</v>
      </c>
      <c r="BA15" t="inlineStr">
        <is>
          <t>https://claudine-design.github.io/enquete-berck/checklist-menage/?appart=kingston</t>
        </is>
      </c>
      <c r="BB15" s="61" t="inlineStr">
        <is>
          <t>https://www.airbnb.fr/rooms/1591467726367391456</t>
        </is>
      </c>
      <c r="BC15" s="61" t="inlineStr">
        <is>
          <t>https://www.booking.com/hotel/fr/face-mer-parking-rez-de-chausse.fr.html</t>
        </is>
      </c>
      <c r="BD15" s="32" t="n">
        <v>4</v>
      </c>
      <c r="BE15" s="32" t="n">
        <v>2</v>
      </c>
      <c r="BF15" s="32" t="n">
        <v>8.699999999999999</v>
      </c>
      <c r="BG15" s="32" t="n">
        <v>52</v>
      </c>
      <c r="BH15" s="32">
        <f>IF(AND(ISNUMBER(BD15),BD15&gt;=4.9),20,0)+IF(AND(ISNUMBER(BF15),BF15&gt;=9.0),20,0)</f>
        <v/>
      </c>
    </row>
    <row r="16" ht="37.5" customHeight="1">
      <c r="A16" s="19" t="n">
        <v>15</v>
      </c>
      <c r="B16" s="19" t="inlineStr">
        <is>
          <t>reserve</t>
        </is>
      </c>
      <c r="C16" s="19" t="inlineStr">
        <is>
          <t>La Réserve</t>
        </is>
      </c>
      <c r="D16" s="19" t="inlineStr">
        <is>
          <t>La Réserve</t>
        </is>
      </c>
      <c r="E16" s="19" t="inlineStr">
        <is>
          <t>2 Avenue Marianne, 62600 Berck</t>
        </is>
      </c>
      <c r="F16" s="19" t="inlineStr">
        <is>
          <t>Apollo</t>
        </is>
      </c>
      <c r="G16" s="2" t="inlineStr">
        <is>
          <t>esplanade</t>
        </is>
      </c>
      <c r="H16" s="2" t="inlineStr">
        <is>
          <t>Appartement</t>
        </is>
      </c>
      <c r="I16" s="12" t="inlineStr">
        <is>
          <t>À préciser</t>
        </is>
      </c>
      <c r="J16" s="12" t="inlineStr">
        <is>
          <t>À préciser</t>
        </is>
      </c>
      <c r="K16" s="12" t="inlineStr">
        <is>
          <t>À préciser</t>
        </is>
      </c>
      <c r="L16" s="3" t="inlineStr">
        <is>
          <t>Oui</t>
        </is>
      </c>
      <c r="M16" s="12" t="inlineStr">
        <is>
          <t>À préciser</t>
        </is>
      </c>
      <c r="N16" s="11" t="n"/>
      <c r="O16" s="4" t="inlineStr">
        <is>
          <t>Voir la vidéo</t>
        </is>
      </c>
      <c r="P16" s="5" t="inlineStr">
        <is>
          <t>Vitro-céramique</t>
        </is>
      </c>
      <c r="Q16" s="5" t="inlineStr">
        <is>
          <t>Compartiment freezer</t>
        </is>
      </c>
      <c r="R16" s="5" t="inlineStr">
        <is>
          <t>Senseo + filtre</t>
        </is>
      </c>
      <c r="S16" s="5" t="inlineStr">
        <is>
          <t>Oui</t>
        </is>
      </c>
      <c r="T16" s="5" t="inlineStr">
        <is>
          <t>Oui</t>
        </is>
      </c>
      <c r="U16" s="5" t="inlineStr">
        <is>
          <t>Oui (assiettes, verres, casserole, poêle, plat à tarte)</t>
        </is>
      </c>
      <c r="V16" s="6" t="inlineStr">
        <is>
          <t>Oui (hypoallergénique, OK enfants)</t>
        </is>
      </c>
      <c r="W16" s="12" t="inlineStr">
        <is>
          <t>À préciser</t>
        </is>
      </c>
      <c r="X16" s="12" t="inlineStr">
        <is>
          <t>À préciser</t>
        </is>
      </c>
      <c r="Y16" s="12" t="inlineStr">
        <is>
          <t>À préciser</t>
        </is>
      </c>
      <c r="Z16" s="12" t="inlineStr">
        <is>
          <t>À préciser</t>
        </is>
      </c>
      <c r="AA16" s="6" t="inlineStr">
        <is>
          <t>Non</t>
        </is>
      </c>
      <c r="AB16" s="3" t="inlineStr">
        <is>
          <t>Non</t>
        </is>
      </c>
      <c r="AC16" s="12" t="inlineStr">
        <is>
          <t>À préciser</t>
        </is>
      </c>
      <c r="AD16" s="3" t="inlineStr">
        <is>
          <t>Non</t>
        </is>
      </c>
      <c r="AE16" s="3" t="inlineStr">
        <is>
          <t>Non</t>
        </is>
      </c>
      <c r="AF16" s="3" t="inlineStr">
        <is>
          <t>Molotov standard</t>
        </is>
      </c>
      <c r="AG16" s="3" t="n">
        <v>1</v>
      </c>
      <c r="AH16" s="12" t="inlineStr">
        <is>
          <t>À préciser</t>
        </is>
      </c>
      <c r="AI16" s="12" t="inlineStr">
        <is>
          <t>À préciser</t>
        </is>
      </c>
      <c r="AJ16" s="8" t="n">
        <v>20</v>
      </c>
      <c r="AK16" s="8" t="inlineStr">
        <is>
          <t>Oui</t>
        </is>
      </c>
      <c r="AL16" s="8" t="inlineStr">
        <is>
          <t>Oui</t>
        </is>
      </c>
      <c r="AM16" s="8" t="inlineStr">
        <is>
          <t>Oui (sur demande)</t>
        </is>
      </c>
      <c r="AN16" s="8" t="inlineStr">
        <is>
          <t>Non</t>
        </is>
      </c>
      <c r="AO16" s="9" t="inlineStr">
        <is>
          <t>Non</t>
        </is>
      </c>
      <c r="AP16" s="9" t="inlineStr">
        <is>
          <t>Clara</t>
        </is>
      </c>
      <c r="AQ16" s="9" t="inlineStr">
        <is>
          <t>SAS Maréchal Invest</t>
        </is>
      </c>
      <c r="AR16" s="9" t="n">
        <v>6</v>
      </c>
      <c r="AS16" s="10" t="inlineStr">
        <is>
          <t>Lieu : Containers dans la cour à l'arrière de l'immeuble_x000D_
Bacs : Gris (ordures ménagères) + Jaune (emballages, plastiques, papiers)</t>
        </is>
      </c>
      <c r="AT16" s="13" t="n">
        <v>300</v>
      </c>
      <c r="AU16" s="13" t="inlineStr">
        <is>
          <t>Standard</t>
        </is>
      </c>
      <c r="AV16" s="24" t="inlineStr">
        <is>
          <t>À définir</t>
        </is>
      </c>
      <c r="AW16" s="24" t="inlineStr">
        <is>
          <t>À définir</t>
        </is>
      </c>
      <c r="AX16" s="13" t="inlineStr">
        <is>
          <t>—</t>
        </is>
      </c>
      <c r="AY16" s="27" t="inlineStr">
        <is>
          <t>OUI</t>
        </is>
      </c>
      <c r="AZ16" s="28" t="n">
        <v>20</v>
      </c>
      <c r="BA16" t="inlineStr">
        <is>
          <t>https://claudine-design.github.io/enquete-berck/checklist-menage/?appart=reserve</t>
        </is>
      </c>
      <c r="BB16" s="60" t="inlineStr">
        <is>
          <t>(pas exploitée — pas de listing actif)</t>
        </is>
      </c>
      <c r="BC16" s="32" t="inlineStr">
        <is>
          <t>—</t>
        </is>
      </c>
      <c r="BD16" s="32" t="inlineStr">
        <is>
          <t>—</t>
        </is>
      </c>
      <c r="BE16" s="32" t="n">
        <v>0</v>
      </c>
      <c r="BF16" s="32" t="n"/>
      <c r="BG16" s="32" t="n">
        <v>0</v>
      </c>
      <c r="BH16" s="32">
        <f>IF(AND(ISNUMBER(BD16),BD16&gt;=4.9),20,0)+IF(AND(ISNUMBER(BF16),BF16&gt;=9.0),20,0)</f>
        <v/>
      </c>
    </row>
    <row r="17" ht="62.5" customHeight="1">
      <c r="A17" s="20" t="n">
        <v>16</v>
      </c>
      <c r="B17" s="20" t="inlineStr">
        <is>
          <t>albatros</t>
        </is>
      </c>
      <c r="C17" s="20" t="inlineStr">
        <is>
          <t>Albatros</t>
        </is>
      </c>
      <c r="D17" s="20" t="inlineStr">
        <is>
          <t>Hamac Chic Vue Mer</t>
        </is>
      </c>
      <c r="E17" s="20" t="inlineStr">
        <is>
          <t>10 Avenue Marianne, 62600 Berck</t>
        </is>
      </c>
      <c r="F17" s="20" t="inlineStr">
        <is>
          <t>Albatros</t>
        </is>
      </c>
      <c r="G17" s="2" t="inlineStr">
        <is>
          <t>esplanade</t>
        </is>
      </c>
      <c r="H17" s="2" t="inlineStr">
        <is>
          <t>T2</t>
        </is>
      </c>
      <c r="I17" s="3" t="inlineStr">
        <is>
          <t>25 m²</t>
        </is>
      </c>
      <c r="J17" s="3" t="inlineStr">
        <is>
          <t>4 couchages · chambre 140×200 · canapé convertible 140×190</t>
        </is>
      </c>
      <c r="K17" s="3" t="inlineStr">
        <is>
          <t>3e étage</t>
        </is>
      </c>
      <c r="L17" s="3" t="inlineStr">
        <is>
          <t>Oui</t>
        </is>
      </c>
      <c r="M17" s="3" t="inlineStr">
        <is>
          <t>Dans la rue</t>
        </is>
      </c>
      <c r="N17" s="4" t="inlineStr">
        <is>
          <t>Voir la vidéo</t>
        </is>
      </c>
      <c r="O17" s="4" t="inlineStr">
        <is>
          <t>Voir la vidéo</t>
        </is>
      </c>
      <c r="P17" s="5" t="inlineStr">
        <is>
          <t>Vitro-céramique</t>
        </is>
      </c>
      <c r="Q17" s="5" t="inlineStr">
        <is>
          <t>Compartiment freezer</t>
        </is>
      </c>
      <c r="R17" s="5" t="inlineStr">
        <is>
          <t>Senseo + filtre</t>
        </is>
      </c>
      <c r="S17" s="5" t="inlineStr">
        <is>
          <t>Oui</t>
        </is>
      </c>
      <c r="T17" s="5" t="inlineStr">
        <is>
          <t>Oui</t>
        </is>
      </c>
      <c r="U17" s="5" t="inlineStr">
        <is>
          <t>Oui (assiettes, verres, casserole, poêle, plat à tarte)</t>
        </is>
      </c>
      <c r="V17" s="6" t="inlineStr">
        <is>
          <t>Oui (hypoallergénique, OK enfants)</t>
        </is>
      </c>
      <c r="W17" s="6" t="inlineStr">
        <is>
          <t>Oui</t>
        </is>
      </c>
      <c r="X17" s="6" t="inlineStr">
        <is>
          <t>Oui</t>
        </is>
      </c>
      <c r="Y17" s="6" t="inlineStr">
        <is>
          <t>Non</t>
        </is>
      </c>
      <c r="Z17" s="6" t="inlineStr">
        <is>
          <t>Oui</t>
        </is>
      </c>
      <c r="AA17" s="6" t="inlineStr">
        <is>
          <t>Non</t>
        </is>
      </c>
      <c r="AB17" s="3" t="inlineStr">
        <is>
          <t>Non</t>
        </is>
      </c>
      <c r="AC17" s="3" t="inlineStr">
        <is>
          <t>Non (local à vélos)</t>
        </is>
      </c>
      <c r="AD17" s="3" t="inlineStr">
        <is>
          <t>Non</t>
        </is>
      </c>
      <c r="AE17" s="3" t="inlineStr">
        <is>
          <t>Non</t>
        </is>
      </c>
      <c r="AF17" s="3" t="inlineStr">
        <is>
          <t>Molotov standard</t>
        </is>
      </c>
      <c r="AG17" s="3" t="n">
        <v>1</v>
      </c>
      <c r="AH17" s="7" t="inlineStr">
        <is>
          <t>TP link D1E8</t>
        </is>
      </c>
      <c r="AI17" s="7" t="n">
        <v>66436003</v>
      </c>
      <c r="AJ17" s="8" t="n">
        <v>15</v>
      </c>
      <c r="AK17" s="8" t="inlineStr">
        <is>
          <t>Non (en option)</t>
        </is>
      </c>
      <c r="AL17" s="8" t="inlineStr">
        <is>
          <t>Oui</t>
        </is>
      </c>
      <c r="AM17" s="8" t="inlineStr">
        <is>
          <t>Oui (sur demande)</t>
        </is>
      </c>
      <c r="AN17" s="8" t="inlineStr">
        <is>
          <t>Non</t>
        </is>
      </c>
      <c r="AO17" s="9" t="inlineStr">
        <is>
          <t>Non</t>
        </is>
      </c>
      <c r="AP17" s="9" t="inlineStr">
        <is>
          <t>Clara</t>
        </is>
      </c>
      <c r="AQ17" s="9" t="inlineStr">
        <is>
          <t>SAS Maréchal Invest</t>
        </is>
      </c>
      <c r="AR17" s="9" t="n">
        <v>0</v>
      </c>
      <c r="AS17" s="10" t="inlineStr">
        <is>
          <t>Lieu : Containers dans la cave de l'immeuble_x000D_
Chemin : Ascenseur → descendre au moins 1 niveau → tourner à gauche → puis à gauche_x000D_
Bacs : Gris (ordures ménagères) + Jaune (emballages, plastiques, papiers)</t>
        </is>
      </c>
      <c r="AT17" s="13" t="n">
        <v>300</v>
      </c>
      <c r="AU17" s="13" t="inlineStr">
        <is>
          <t>Standard</t>
        </is>
      </c>
      <c r="AV17" s="24" t="inlineStr">
        <is>
          <t>À définir</t>
        </is>
      </c>
      <c r="AW17" s="24" t="inlineStr">
        <is>
          <t>À définir</t>
        </is>
      </c>
      <c r="AX17" s="25" t="n">
        <v>15</v>
      </c>
      <c r="AY17" s="26" t="inlineStr">
        <is>
          <t>NON</t>
        </is>
      </c>
      <c r="AZ17" s="28" t="n">
        <v>20</v>
      </c>
      <c r="BA17" t="inlineStr">
        <is>
          <t>https://claudine-design.github.io/enquete-berck/checklist-menage/?appart=albatros</t>
        </is>
      </c>
      <c r="BB17" s="61" t="inlineStr">
        <is>
          <t>https://www.airbnb.fr/rooms/1052856835096858895</t>
        </is>
      </c>
      <c r="BC17" s="61" t="inlineStr">
        <is>
          <t>https://www.booking.com/hotel/fr/hamac-chic-vue-mer.fr.html</t>
        </is>
      </c>
      <c r="BD17" s="32" t="n">
        <v>4.72</v>
      </c>
      <c r="BE17" s="32" t="n">
        <v>71</v>
      </c>
      <c r="BF17" s="32" t="n">
        <v>8.699999999999999</v>
      </c>
      <c r="BG17" s="32" t="n">
        <v>57</v>
      </c>
      <c r="BH17" s="32">
        <f>IF(AND(ISNUMBER(BD17),BD17&gt;=4.9),20,0)+IF(AND(ISNUMBER(BF17),BF17&gt;=9.0),20,0)</f>
        <v/>
      </c>
    </row>
    <row r="18" ht="87.5" customHeight="1">
      <c r="A18" s="18" t="n">
        <v>17</v>
      </c>
      <c r="B18" s="18" t="inlineStr">
        <is>
          <t>miniloveroom</t>
        </is>
      </c>
      <c r="C18" s="18" t="inlineStr">
        <is>
          <t>Mini Love Room</t>
        </is>
      </c>
      <c r="D18" s="18" t="inlineStr">
        <is>
          <t>Balnéo Face Mer</t>
        </is>
      </c>
      <c r="E18" s="18" t="inlineStr">
        <is>
          <t>59 Esplanade Parmentier, 62600 Berck</t>
        </is>
      </c>
      <c r="F18" s="18" t="inlineStr">
        <is>
          <t>Esplanade</t>
        </is>
      </c>
      <c r="G18" s="2" t="inlineStr">
        <is>
          <t>esplanade</t>
        </is>
      </c>
      <c r="H18" s="2" t="inlineStr">
        <is>
          <t>Studio</t>
        </is>
      </c>
      <c r="I18" s="3" t="inlineStr">
        <is>
          <t>21 m²</t>
        </is>
      </c>
      <c r="J18" s="3" t="inlineStr">
        <is>
          <t>2 couchages · lit 160×200</t>
        </is>
      </c>
      <c r="K18" s="3" t="inlineStr">
        <is>
          <t>3e étage</t>
        </is>
      </c>
      <c r="L18" s="3" t="inlineStr">
        <is>
          <t>Non</t>
        </is>
      </c>
      <c r="M18" s="3" t="inlineStr">
        <is>
          <t>Dans la rue</t>
        </is>
      </c>
      <c r="N18" s="4" t="inlineStr">
        <is>
          <t>Voir la vidéo</t>
        </is>
      </c>
      <c r="O18" s="4" t="inlineStr">
        <is>
          <t>Voir la vidéo</t>
        </is>
      </c>
      <c r="P18" s="5" t="inlineStr">
        <is>
          <t>Vitro-céramique</t>
        </is>
      </c>
      <c r="Q18" s="5" t="inlineStr">
        <is>
          <t>Aucun (juste micro-ondes grill)</t>
        </is>
      </c>
      <c r="R18" s="5" t="inlineStr">
        <is>
          <t>Senseo</t>
        </is>
      </c>
      <c r="S18" s="5" t="inlineStr">
        <is>
          <t>Oui</t>
        </is>
      </c>
      <c r="T18" s="5" t="inlineStr">
        <is>
          <t>Oui</t>
        </is>
      </c>
      <c r="U18" s="5" t="inlineStr">
        <is>
          <t>Oui (assiettes, verres, casserole, poêle, plat à tarte)</t>
        </is>
      </c>
      <c r="V18" s="6" t="inlineStr">
        <is>
          <t>Oui (hypoallergénique, OK enfants)</t>
        </is>
      </c>
      <c r="W18" s="6" t="inlineStr">
        <is>
          <t>Non</t>
        </is>
      </c>
      <c r="X18" s="6" t="inlineStr">
        <is>
          <t>Non</t>
        </is>
      </c>
      <c r="Y18" s="6" t="inlineStr">
        <is>
          <t>Oui</t>
        </is>
      </c>
      <c r="Z18" s="6" t="inlineStr">
        <is>
          <t>Oui</t>
        </is>
      </c>
      <c r="AA18" s="22" t="inlineStr">
        <is>
          <t>Indra Wave (compact, 2 personnes face à face)</t>
        </is>
      </c>
      <c r="AB18" s="3" t="inlineStr">
        <is>
          <t>Non</t>
        </is>
      </c>
      <c r="AC18" s="3" t="inlineStr">
        <is>
          <t>Non</t>
        </is>
      </c>
      <c r="AD18" s="3" t="inlineStr">
        <is>
          <t>Non</t>
        </is>
      </c>
      <c r="AE18" s="3" t="inlineStr">
        <is>
          <t>Non</t>
        </is>
      </c>
      <c r="AF18" s="3" t="inlineStr">
        <is>
          <t>Vidéoprojecteur + Molotov Premium</t>
        </is>
      </c>
      <c r="AG18" s="3" t="n">
        <v>1</v>
      </c>
      <c r="AH18" s="7" t="inlineStr">
        <is>
          <t>Romance</t>
        </is>
      </c>
      <c r="AI18" s="7" t="inlineStr">
        <is>
          <t>58Facemer</t>
        </is>
      </c>
      <c r="AJ18" s="8" t="n">
        <v>20</v>
      </c>
      <c r="AK18" s="8" t="inlineStr">
        <is>
          <t>Oui</t>
        </is>
      </c>
      <c r="AL18" s="8" t="inlineStr">
        <is>
          <t>Oui</t>
        </is>
      </c>
      <c r="AM18" s="8" t="inlineStr">
        <is>
          <t>❌ Interdits</t>
        </is>
      </c>
      <c r="AN18" s="8" t="inlineStr">
        <is>
          <t>Non</t>
        </is>
      </c>
      <c r="AO18" s="9" t="inlineStr">
        <is>
          <t>Non</t>
        </is>
      </c>
      <c r="AP18" s="9" t="inlineStr">
        <is>
          <t>Christelle</t>
        </is>
      </c>
      <c r="AQ18" s="9" t="inlineStr">
        <is>
          <t>SAS Maréchal Invest</t>
        </is>
      </c>
      <c r="AR18" s="9" t="n">
        <v>6</v>
      </c>
      <c r="AS18" s="10" t="inlineStr">
        <is>
          <t>Lieu : Containers au niveau des parkings derrière l'immeuble, un peu plus au sud_x000D_
Chemin : À gauche en sortant de l'immeuble → 1ère à gauche → puis à droite_x000D_
GPS : 50.409716, 1.562247_x000D_
Bacs : Gris (ordures ménagères) + Jaune (emballages, plastiques, papiers)</t>
        </is>
      </c>
      <c r="AT18" s="13" t="n">
        <v>600</v>
      </c>
      <c r="AU18" s="13" t="inlineStr">
        <is>
          <t>Balnéo</t>
        </is>
      </c>
      <c r="AV18" s="24" t="inlineStr">
        <is>
          <t>À définir</t>
        </is>
      </c>
      <c r="AW18" s="24" t="inlineStr">
        <is>
          <t>À définir</t>
        </is>
      </c>
      <c r="AX18" s="13" t="inlineStr">
        <is>
          <t>—</t>
        </is>
      </c>
      <c r="AY18" s="27" t="inlineStr">
        <is>
          <t>OUI</t>
        </is>
      </c>
      <c r="AZ18" s="14" t="inlineStr">
        <is>
          <t>—</t>
        </is>
      </c>
      <c r="BA18" t="inlineStr">
        <is>
          <t>https://claudine-design.github.io/enquete-berck/checklist-menage/?appart=mini-love-room</t>
        </is>
      </c>
      <c r="BB18" s="61" t="inlineStr">
        <is>
          <t>https://www.airbnb.fr/rooms/1460343641550739266</t>
        </is>
      </c>
      <c r="BC18" s="61" t="inlineStr">
        <is>
          <t>https://www.booking.com/hotel/fr/balneo-face-mer.fr.html</t>
        </is>
      </c>
      <c r="BD18" s="32" t="n">
        <v>4.83</v>
      </c>
      <c r="BE18" s="32" t="n">
        <v>81</v>
      </c>
      <c r="BF18" s="32" t="n">
        <v>8.199999999999999</v>
      </c>
      <c r="BG18" s="32" t="n">
        <v>7</v>
      </c>
      <c r="BH18" s="32">
        <f>IF(AND(ISNUMBER(BD18),BD18&gt;=4.9),20,0)+IF(AND(ISNUMBER(BF18),BF18&gt;=9.0),20,0)</f>
        <v/>
      </c>
    </row>
    <row r="19" ht="87.5" customHeight="1">
      <c r="A19" s="18" t="n">
        <v>18</v>
      </c>
      <c r="B19" s="18" t="inlineStr">
        <is>
          <t>grandeloveroom</t>
        </is>
      </c>
      <c r="C19" s="18" t="inlineStr">
        <is>
          <t>Grande Love Room</t>
        </is>
      </c>
      <c r="D19" s="18" t="inlineStr">
        <is>
          <t>Romantique Face Mer</t>
        </is>
      </c>
      <c r="E19" s="18" t="inlineStr">
        <is>
          <t>59 Esplanade Parmentier, 62600 Berck</t>
        </is>
      </c>
      <c r="F19" s="18" t="inlineStr">
        <is>
          <t>Esplanade</t>
        </is>
      </c>
      <c r="G19" s="2" t="inlineStr">
        <is>
          <t>esplanade</t>
        </is>
      </c>
      <c r="H19" s="2" t="inlineStr">
        <is>
          <t>Studio</t>
        </is>
      </c>
      <c r="I19" s="3" t="inlineStr">
        <is>
          <t>28 m²</t>
        </is>
      </c>
      <c r="J19" s="3" t="inlineStr">
        <is>
          <t>2 couchages · lit 160×200</t>
        </is>
      </c>
      <c r="K19" s="3" t="inlineStr">
        <is>
          <t>3e étage</t>
        </is>
      </c>
      <c r="L19" s="3" t="inlineStr">
        <is>
          <t>Non</t>
        </is>
      </c>
      <c r="M19" s="3" t="inlineStr">
        <is>
          <t>Dans la rue</t>
        </is>
      </c>
      <c r="N19" s="11" t="n"/>
      <c r="O19" s="4" t="inlineStr">
        <is>
          <t>Voir la vidéo</t>
        </is>
      </c>
      <c r="P19" s="5" t="inlineStr">
        <is>
          <t>Vitro-céramique</t>
        </is>
      </c>
      <c r="Q19" s="5" t="inlineStr">
        <is>
          <t>Compartiment freezer</t>
        </is>
      </c>
      <c r="R19" s="5" t="inlineStr">
        <is>
          <t>Senseo</t>
        </is>
      </c>
      <c r="S19" s="5" t="inlineStr">
        <is>
          <t>Oui</t>
        </is>
      </c>
      <c r="T19" s="5" t="inlineStr">
        <is>
          <t>Oui</t>
        </is>
      </c>
      <c r="U19" s="5" t="inlineStr">
        <is>
          <t>Oui (assiettes, verres, casserole, poêle, plat à tarte)</t>
        </is>
      </c>
      <c r="V19" s="6" t="inlineStr">
        <is>
          <t>Oui (hypoallergénique, OK enfants)</t>
        </is>
      </c>
      <c r="W19" s="6" t="inlineStr">
        <is>
          <t>Non</t>
        </is>
      </c>
      <c r="X19" s="6" t="inlineStr">
        <is>
          <t>Oui</t>
        </is>
      </c>
      <c r="Y19" s="6" t="inlineStr">
        <is>
          <t>Non</t>
        </is>
      </c>
      <c r="Z19" s="6" t="inlineStr">
        <is>
          <t>Oui</t>
        </is>
      </c>
      <c r="AA19" s="22" t="inlineStr">
        <is>
          <t>Indra Wave (compact, 2 personnes face à face)</t>
        </is>
      </c>
      <c r="AB19" s="3" t="inlineStr">
        <is>
          <t>Non</t>
        </is>
      </c>
      <c r="AC19" s="3" t="inlineStr">
        <is>
          <t>Non</t>
        </is>
      </c>
      <c r="AD19" s="3" t="inlineStr">
        <is>
          <t>Non</t>
        </is>
      </c>
      <c r="AE19" s="3" t="inlineStr">
        <is>
          <t>Non</t>
        </is>
      </c>
      <c r="AF19" s="3" t="inlineStr">
        <is>
          <t>Molotov standard</t>
        </is>
      </c>
      <c r="AG19" s="3" t="n">
        <v>1</v>
      </c>
      <c r="AH19" s="7" t="inlineStr">
        <is>
          <t>Romance</t>
        </is>
      </c>
      <c r="AI19" s="7" t="inlineStr">
        <is>
          <t>58Facemer</t>
        </is>
      </c>
      <c r="AJ19" s="8" t="n">
        <v>20</v>
      </c>
      <c r="AK19" s="8" t="inlineStr">
        <is>
          <t>Oui</t>
        </is>
      </c>
      <c r="AL19" s="8" t="inlineStr">
        <is>
          <t>Oui</t>
        </is>
      </c>
      <c r="AM19" s="8" t="inlineStr">
        <is>
          <t>❌ Interdits</t>
        </is>
      </c>
      <c r="AN19" s="8" t="inlineStr">
        <is>
          <t>Non</t>
        </is>
      </c>
      <c r="AO19" s="9" t="inlineStr">
        <is>
          <t>Non</t>
        </is>
      </c>
      <c r="AP19" s="9" t="inlineStr">
        <is>
          <t>Christelle</t>
        </is>
      </c>
      <c r="AQ19" s="9" t="inlineStr">
        <is>
          <t>SAS Maréchal Invest</t>
        </is>
      </c>
      <c r="AR19" s="9" t="n">
        <v>6</v>
      </c>
      <c r="AS19" s="10" t="inlineStr">
        <is>
          <t>Lieu : Containers au niveau des parkings derrière l'immeuble, un peu plus au sud_x000D_
Chemin : À gauche en sortant de l'immeuble → 1ère à gauche → puis à droite_x000D_
GPS : 50.409716, 1.562247_x000D_
Bacs : Gris (ordures ménagères) + Jaune (emballages, plastiques, papiers)</t>
        </is>
      </c>
      <c r="AT19" s="13" t="n">
        <v>600</v>
      </c>
      <c r="AU19" s="13" t="inlineStr">
        <is>
          <t>Balnéo (à venir)</t>
        </is>
      </c>
      <c r="AV19" s="24" t="inlineStr">
        <is>
          <t>À définir</t>
        </is>
      </c>
      <c r="AW19" s="24" t="inlineStr">
        <is>
          <t>À définir</t>
        </is>
      </c>
      <c r="AX19" s="13" t="inlineStr">
        <is>
          <t>—</t>
        </is>
      </c>
      <c r="AY19" s="27" t="inlineStr">
        <is>
          <t>OUI</t>
        </is>
      </c>
      <c r="AZ19" s="13" t="inlineStr">
        <is>
          <t>—</t>
        </is>
      </c>
      <c r="BA19" t="inlineStr">
        <is>
          <t>https://claudine-design.github.io/enquete-berck/checklist-menage/?appart=grande-love-room</t>
        </is>
      </c>
      <c r="BB19" s="61" t="inlineStr">
        <is>
          <t>https://www.airbnb.fr/rooms/1395729680157024554</t>
        </is>
      </c>
      <c r="BC19" s="61" t="inlineStr">
        <is>
          <t>https://www.booking.com/hotel/fr/romantique-vue-face-mer.fr.html</t>
        </is>
      </c>
      <c r="BD19" s="33" t="n">
        <v>4.91</v>
      </c>
      <c r="BE19" s="32" t="n">
        <v>33</v>
      </c>
      <c r="BF19" s="35" t="n">
        <v>8</v>
      </c>
      <c r="BG19" s="32" t="n">
        <v>9</v>
      </c>
      <c r="BH19" s="33">
        <f>IF(AND(ISNUMBER(BD19),BD19&gt;=4.9),20,0)+IF(AND(ISNUMBER(BF19),BF19&gt;=9.0),20,0)</f>
        <v/>
      </c>
    </row>
    <row r="20" ht="62.5" customHeight="1">
      <c r="A20" s="21" t="n">
        <v>19</v>
      </c>
      <c r="B20" s="21" t="inlineStr">
        <is>
          <t>jeanne</t>
        </is>
      </c>
      <c r="C20" s="21" t="inlineStr">
        <is>
          <t>Jeanne</t>
        </is>
      </c>
      <c r="D20" s="21" t="inlineStr">
        <is>
          <t>Cœur de Berck</t>
        </is>
      </c>
      <c r="E20" s="21" t="inlineStr">
        <is>
          <t>23 Rue Jeanne, 62600 Berck</t>
        </is>
      </c>
      <c r="F20" s="21" t="inlineStr">
        <is>
          <t>Rue Jeanne</t>
        </is>
      </c>
      <c r="G20" s="2" t="inlineStr">
        <is>
          <t>jeanne</t>
        </is>
      </c>
      <c r="H20" s="2" t="inlineStr">
        <is>
          <t>T2</t>
        </is>
      </c>
      <c r="I20" s="3" t="inlineStr">
        <is>
          <t>48 m²</t>
        </is>
      </c>
      <c r="J20" s="3" t="inlineStr">
        <is>
          <t>4 couchages · chambre 160×200 + canapé 140×190</t>
        </is>
      </c>
      <c r="K20" s="3" t="inlineStr">
        <is>
          <t>1er étage · appartement 3</t>
        </is>
      </c>
      <c r="L20" s="3" t="inlineStr">
        <is>
          <t>Non</t>
        </is>
      </c>
      <c r="M20" s="3" t="inlineStr">
        <is>
          <t>Dans la rue + parking stade gratuit</t>
        </is>
      </c>
      <c r="N20" s="4" t="inlineStr">
        <is>
          <t>Voir la vidéo</t>
        </is>
      </c>
      <c r="O20" s="4" t="inlineStr">
        <is>
          <t>Voir la vidéo</t>
        </is>
      </c>
      <c r="P20" s="5" t="inlineStr">
        <is>
          <t>Gaz</t>
        </is>
      </c>
      <c r="Q20" s="5" t="inlineStr">
        <is>
          <t>Frigo + congélateur séparé</t>
        </is>
      </c>
      <c r="R20" s="5" t="inlineStr">
        <is>
          <t>Senseo + filtre</t>
        </is>
      </c>
      <c r="S20" s="5" t="inlineStr">
        <is>
          <t>Oui</t>
        </is>
      </c>
      <c r="T20" s="5" t="inlineStr">
        <is>
          <t>Oui</t>
        </is>
      </c>
      <c r="U20" s="5" t="inlineStr">
        <is>
          <t>Oui (assiettes, verres, casserole, poêle, plat à tarte)</t>
        </is>
      </c>
      <c r="V20" s="6" t="inlineStr">
        <is>
          <t>Oui (hypoallergénique, OK enfants)</t>
        </is>
      </c>
      <c r="W20" s="6" t="inlineStr">
        <is>
          <t>Oui</t>
        </is>
      </c>
      <c r="X20" s="6" t="inlineStr">
        <is>
          <t>Non</t>
        </is>
      </c>
      <c r="Y20" s="6" t="inlineStr">
        <is>
          <t>Non</t>
        </is>
      </c>
      <c r="Z20" s="6" t="inlineStr">
        <is>
          <t>Oui</t>
        </is>
      </c>
      <c r="AA20" s="6" t="inlineStr">
        <is>
          <t>Non</t>
        </is>
      </c>
      <c r="AB20" s="3" t="inlineStr">
        <is>
          <t>Non</t>
        </is>
      </c>
      <c r="AC20" s="3" t="inlineStr">
        <is>
          <t>Non</t>
        </is>
      </c>
      <c r="AD20" s="3" t="inlineStr">
        <is>
          <t>Non</t>
        </is>
      </c>
      <c r="AE20" s="3" t="inlineStr">
        <is>
          <t>Non</t>
        </is>
      </c>
      <c r="AF20" s="3" t="inlineStr">
        <is>
          <t>Antenne hertzienne (TNT)</t>
        </is>
      </c>
      <c r="AG20" s="3" t="n">
        <v>1</v>
      </c>
      <c r="AH20" s="7" t="inlineStr">
        <is>
          <t>TP-LINK _6322</t>
        </is>
      </c>
      <c r="AI20" s="7" t="n">
        <v>83968280</v>
      </c>
      <c r="AJ20" s="8" t="n">
        <v>15</v>
      </c>
      <c r="AK20" s="8" t="inlineStr">
        <is>
          <t>Non (en option)</t>
        </is>
      </c>
      <c r="AL20" s="8" t="inlineStr">
        <is>
          <t>Oui</t>
        </is>
      </c>
      <c r="AM20" s="8" t="inlineStr">
        <is>
          <t>Oui (sur demande)</t>
        </is>
      </c>
      <c r="AN20" s="8" t="inlineStr">
        <is>
          <t>Non</t>
        </is>
      </c>
      <c r="AO20" s="9" t="inlineStr">
        <is>
          <t>Non</t>
        </is>
      </c>
      <c r="AP20" s="9" t="inlineStr">
        <is>
          <t>Christelle</t>
        </is>
      </c>
      <c r="AQ20" s="9" t="inlineStr">
        <is>
          <t>SAS Maréchal Invest</t>
        </is>
      </c>
      <c r="AR20" s="9" t="n">
        <v>6</v>
      </c>
      <c r="AS20" s="10" t="inlineStr">
        <is>
          <t>Lieu : Poubelles juste en face de l'entrée de l'immeuble_x000D_
Chemin : En sortant de l'immeuble, traversez : les containers sont en face_x000D_
Bacs : Gris (ordures ménagères) + Jaune (emballages, plastiques, papiers)</t>
        </is>
      </c>
      <c r="AT20" s="13" t="n">
        <v>300</v>
      </c>
      <c r="AU20" s="13" t="inlineStr">
        <is>
          <t>Standard</t>
        </is>
      </c>
      <c r="AV20" s="24" t="inlineStr">
        <is>
          <t>À définir</t>
        </is>
      </c>
      <c r="AW20" s="24" t="inlineStr">
        <is>
          <t>À définir</t>
        </is>
      </c>
      <c r="AX20" s="25" t="n">
        <v>15</v>
      </c>
      <c r="AY20" s="26" t="inlineStr">
        <is>
          <t>NON</t>
        </is>
      </c>
      <c r="AZ20" s="28" t="n">
        <v>20</v>
      </c>
      <c r="BA20" t="inlineStr">
        <is>
          <t>https://claudine-design.github.io/enquete-berck/checklist-menage/?appart=jeanne</t>
        </is>
      </c>
      <c r="BB20" s="61" t="inlineStr">
        <is>
          <t>https://www.airbnb.fr/rooms/1351633825991628744</t>
        </is>
      </c>
      <c r="BC20" s="61" t="inlineStr">
        <is>
          <t>https://www.booking.com/hotel/fr/150m-plage-coeur-de-berck.fr.html</t>
        </is>
      </c>
      <c r="BD20" s="32" t="n">
        <v>4.5</v>
      </c>
      <c r="BE20" s="32" t="n">
        <v>18</v>
      </c>
      <c r="BF20" s="32" t="n">
        <v>8.6</v>
      </c>
      <c r="BG20" s="32" t="n">
        <v>24</v>
      </c>
      <c r="BH20" s="32">
        <f>IF(AND(ISNUMBER(BD20),BD20&gt;=4.9),20,0)+IF(AND(ISNUMBER(BF20),BF20&gt;=9.0),20,0)</f>
        <v/>
      </c>
    </row>
    <row r="21" ht="62.5" customHeight="1">
      <c r="A21" s="21" t="n">
        <v>20</v>
      </c>
      <c r="B21" s="21" t="inlineStr">
        <is>
          <t>evasion</t>
        </is>
      </c>
      <c r="C21" s="21" t="inlineStr">
        <is>
          <t>Évasion</t>
        </is>
      </c>
      <c r="D21" s="21" t="inlineStr">
        <is>
          <t>L'Évasion Balnéo &amp; Sauna</t>
        </is>
      </c>
      <c r="E21" s="21" t="inlineStr">
        <is>
          <t>Rue Jeanne, 62600 Berck</t>
        </is>
      </c>
      <c r="F21" s="21" t="inlineStr">
        <is>
          <t>Rue Jeanne</t>
        </is>
      </c>
      <c r="G21" s="2" t="inlineStr">
        <is>
          <t>jeanne</t>
        </is>
      </c>
      <c r="H21" s="2" t="inlineStr">
        <is>
          <t>T2</t>
        </is>
      </c>
      <c r="I21" s="3" t="inlineStr">
        <is>
          <t>38 m²</t>
        </is>
      </c>
      <c r="J21" s="3" t="inlineStr">
        <is>
          <t>4 couchages · chambre 160×200 + canapé 140×190</t>
        </is>
      </c>
      <c r="K21" s="3" t="inlineStr">
        <is>
          <t>1er étage</t>
        </is>
      </c>
      <c r="L21" s="3" t="inlineStr">
        <is>
          <t>Non</t>
        </is>
      </c>
      <c r="M21" s="3" t="inlineStr">
        <is>
          <t>Dans la rue + parking stade gratuit</t>
        </is>
      </c>
      <c r="N21" s="4" t="inlineStr">
        <is>
          <t>Voir la vidéo</t>
        </is>
      </c>
      <c r="O21" s="4" t="inlineStr">
        <is>
          <t>Voir la vidéo</t>
        </is>
      </c>
      <c r="P21" s="5" t="inlineStr">
        <is>
          <t>Vitro-céramique</t>
        </is>
      </c>
      <c r="Q21" s="5" t="inlineStr">
        <is>
          <t>Compartiment freezer</t>
        </is>
      </c>
      <c r="R21" s="5" t="inlineStr">
        <is>
          <t>Senseo + filtre</t>
        </is>
      </c>
      <c r="S21" s="5" t="inlineStr">
        <is>
          <t>Oui</t>
        </is>
      </c>
      <c r="T21" s="5" t="inlineStr">
        <is>
          <t>Oui</t>
        </is>
      </c>
      <c r="U21" s="5" t="inlineStr">
        <is>
          <t>Oui (assiettes, verres, casserole, poêle, plat à tarte)</t>
        </is>
      </c>
      <c r="V21" s="6" t="inlineStr">
        <is>
          <t>Oui (hypoallergénique, OK enfants)</t>
        </is>
      </c>
      <c r="W21" s="6" t="inlineStr">
        <is>
          <t>Oui</t>
        </is>
      </c>
      <c r="X21" s="6" t="inlineStr">
        <is>
          <t>Oui</t>
        </is>
      </c>
      <c r="Y21" s="6" t="inlineStr">
        <is>
          <t>Oui</t>
        </is>
      </c>
      <c r="Z21" s="6" t="inlineStr">
        <is>
          <t>Oui</t>
        </is>
      </c>
      <c r="AA21" s="22" t="inlineStr">
        <is>
          <t>Cetana (2 places face à face)</t>
        </is>
      </c>
      <c r="AB21" s="23" t="inlineStr">
        <is>
          <t>Oui</t>
        </is>
      </c>
      <c r="AC21" s="3" t="inlineStr">
        <is>
          <t>Non</t>
        </is>
      </c>
      <c r="AD21" s="3" t="inlineStr">
        <is>
          <t>Non</t>
        </is>
      </c>
      <c r="AE21" s="3" t="inlineStr">
        <is>
          <t>Non</t>
        </is>
      </c>
      <c r="AF21" s="3" t="inlineStr">
        <is>
          <t>Antenne hertzienne (TNT)</t>
        </is>
      </c>
      <c r="AG21" s="3" t="n">
        <v>1</v>
      </c>
      <c r="AH21" s="7" t="inlineStr">
        <is>
          <t>TP-LINK _6322</t>
        </is>
      </c>
      <c r="AI21" s="7" t="n">
        <v>83968280</v>
      </c>
      <c r="AJ21" s="8" t="n">
        <v>20</v>
      </c>
      <c r="AK21" s="8" t="inlineStr">
        <is>
          <t>Oui</t>
        </is>
      </c>
      <c r="AL21" s="8" t="inlineStr">
        <is>
          <t>Oui</t>
        </is>
      </c>
      <c r="AM21" s="8" t="inlineStr">
        <is>
          <t>Oui (sur demande)</t>
        </is>
      </c>
      <c r="AN21" s="8" t="inlineStr">
        <is>
          <t>Non</t>
        </is>
      </c>
      <c r="AO21" s="9" t="inlineStr">
        <is>
          <t>Non</t>
        </is>
      </c>
      <c r="AP21" s="9" t="inlineStr">
        <is>
          <t>Christelle</t>
        </is>
      </c>
      <c r="AQ21" s="9" t="inlineStr">
        <is>
          <t>SAS Maréchal Invest</t>
        </is>
      </c>
      <c r="AR21" s="9" t="n">
        <v>0</v>
      </c>
      <c r="AS21" s="10" t="inlineStr">
        <is>
          <t>Lieu : Poubelles juste en face de l'entrée de l'immeuble_x000D_
Chemin : En sortant de l'immeuble, traversez : les containers sont en face_x000D_
Bacs : Gris (ordures ménagères) + Jaune (emballages, plastiques, papiers)</t>
        </is>
      </c>
      <c r="AT21" s="13" t="n">
        <v>600</v>
      </c>
      <c r="AU21" s="13" t="inlineStr">
        <is>
          <t>Balnéo + Sauna</t>
        </is>
      </c>
      <c r="AV21" s="24" t="inlineStr">
        <is>
          <t>À définir</t>
        </is>
      </c>
      <c r="AW21" s="24" t="inlineStr">
        <is>
          <t>À définir</t>
        </is>
      </c>
      <c r="AX21" s="13" t="inlineStr">
        <is>
          <t>—</t>
        </is>
      </c>
      <c r="AY21" s="27" t="inlineStr">
        <is>
          <t>OUI</t>
        </is>
      </c>
      <c r="AZ21" s="28" t="n">
        <v>20</v>
      </c>
      <c r="BA21" t="inlineStr">
        <is>
          <t>https://claudine-design.github.io/enquete-berck/checklist-menage/?appart=evasion</t>
        </is>
      </c>
      <c r="BB21" s="61" t="inlineStr">
        <is>
          <t>https://www.airbnb.fr/rooms/1646951238424869691</t>
        </is>
      </c>
      <c r="BC21" s="61" t="inlineStr">
        <is>
          <t>https://www.booking.com/hotel/fr/evasion-balneo-et-sauna-150m-plage.fr.html</t>
        </is>
      </c>
      <c r="BD21" s="32" t="n">
        <v>4.8</v>
      </c>
      <c r="BE21" s="32" t="n">
        <v>10</v>
      </c>
      <c r="BF21" s="32" t="n"/>
      <c r="BG21" s="32" t="n">
        <v>0</v>
      </c>
      <c r="BH21" s="32">
        <f>IF(AND(ISNUMBER(BD21),BD21&gt;=4.9),20,0)+IF(AND(ISNUMBER(BF21),BF21&gt;=9.0),20,0)</f>
        <v/>
      </c>
    </row>
    <row r="22" ht="62.5" customHeight="1">
      <c r="A22" s="21" t="n">
        <v>21</v>
      </c>
      <c r="B22" s="21" t="inlineStr">
        <is>
          <t>rotonde</t>
        </is>
      </c>
      <c r="C22" s="21" t="inlineStr">
        <is>
          <t>Rotonde</t>
        </is>
      </c>
      <c r="D22" s="21" t="inlineStr">
        <is>
          <t>La Rotonde du Bien-être</t>
        </is>
      </c>
      <c r="E22" s="21" t="inlineStr">
        <is>
          <t>Rue Jeanne, 62600 Berck</t>
        </is>
      </c>
      <c r="F22" s="21" t="inlineStr">
        <is>
          <t>Rue Jeanne</t>
        </is>
      </c>
      <c r="G22" s="2" t="inlineStr">
        <is>
          <t>jeanne</t>
        </is>
      </c>
      <c r="H22" s="2" t="inlineStr">
        <is>
          <t>T3</t>
        </is>
      </c>
      <c r="I22" s="3" t="inlineStr">
        <is>
          <t>55 m²</t>
        </is>
      </c>
      <c r="J22" s="3" t="inlineStr">
        <is>
          <t>5 couchages · chambre 1: 160×200 · chambre 2: 2×(90×190) · canapé 140×190</t>
        </is>
      </c>
      <c r="K22" s="3" t="inlineStr">
        <is>
          <t>RDC</t>
        </is>
      </c>
      <c r="L22" s="3" t="inlineStr">
        <is>
          <t>Non</t>
        </is>
      </c>
      <c r="M22" s="3" t="inlineStr">
        <is>
          <t>Dans la rue + parking stade gratuit</t>
        </is>
      </c>
      <c r="N22" s="11" t="n"/>
      <c r="O22" s="4" t="inlineStr">
        <is>
          <t>Voir la vidéo</t>
        </is>
      </c>
      <c r="P22" s="5" t="inlineStr">
        <is>
          <t>Vitro-céramique</t>
        </is>
      </c>
      <c r="Q22" s="5" t="inlineStr">
        <is>
          <t>Compartiment freezer</t>
        </is>
      </c>
      <c r="R22" s="5" t="inlineStr">
        <is>
          <t>Senseo + filtre</t>
        </is>
      </c>
      <c r="S22" s="5" t="inlineStr">
        <is>
          <t>Oui</t>
        </is>
      </c>
      <c r="T22" s="5" t="inlineStr">
        <is>
          <t>Oui</t>
        </is>
      </c>
      <c r="U22" s="5" t="inlineStr">
        <is>
          <t>Oui (assiettes, verres, casserole, poêle, plat à tarte)</t>
        </is>
      </c>
      <c r="V22" s="6" t="inlineStr">
        <is>
          <t>Oui (hypoallergénique, OK enfants)</t>
        </is>
      </c>
      <c r="W22" s="6" t="inlineStr">
        <is>
          <t>Oui</t>
        </is>
      </c>
      <c r="X22" s="6" t="inlineStr">
        <is>
          <t>Oui</t>
        </is>
      </c>
      <c r="Y22" s="6" t="inlineStr">
        <is>
          <t>Oui</t>
        </is>
      </c>
      <c r="Z22" s="6" t="inlineStr">
        <is>
          <t>Oui</t>
        </is>
      </c>
      <c r="AA22" s="22" t="inlineStr">
        <is>
          <t>Cetana (2 places face à face)</t>
        </is>
      </c>
      <c r="AB22" s="23" t="inlineStr">
        <is>
          <t>Oui (max 65°)</t>
        </is>
      </c>
      <c r="AC22" s="3" t="inlineStr">
        <is>
          <t>Non</t>
        </is>
      </c>
      <c r="AD22" s="3" t="inlineStr">
        <is>
          <t>Non</t>
        </is>
      </c>
      <c r="AE22" s="3" t="inlineStr">
        <is>
          <t>Non</t>
        </is>
      </c>
      <c r="AF22" s="3" t="inlineStr">
        <is>
          <t>Molotov standard</t>
        </is>
      </c>
      <c r="AG22" s="3" t="n">
        <v>1</v>
      </c>
      <c r="AH22" s="7" t="inlineStr">
        <is>
          <t>Patio23</t>
        </is>
      </c>
      <c r="AI22" s="7" t="inlineStr">
        <is>
          <t>23Patio23</t>
        </is>
      </c>
      <c r="AJ22" s="8" t="n">
        <v>20</v>
      </c>
      <c r="AK22" s="8" t="inlineStr">
        <is>
          <t>Oui</t>
        </is>
      </c>
      <c r="AL22" s="8" t="inlineStr">
        <is>
          <t>Oui</t>
        </is>
      </c>
      <c r="AM22" s="8" t="inlineStr">
        <is>
          <t>Oui (sur demande)</t>
        </is>
      </c>
      <c r="AN22" s="8" t="inlineStr">
        <is>
          <t>Non</t>
        </is>
      </c>
      <c r="AO22" s="9" t="inlineStr">
        <is>
          <t>Non</t>
        </is>
      </c>
      <c r="AP22" s="9" t="inlineStr">
        <is>
          <t>Christelle</t>
        </is>
      </c>
      <c r="AQ22" s="9" t="inlineStr">
        <is>
          <t>SAS Maréchal Invest</t>
        </is>
      </c>
      <c r="AR22" s="9" t="n">
        <v>0</v>
      </c>
      <c r="AS22" s="10" t="inlineStr">
        <is>
          <t>Lieu : Poubelles juste en face de l'entrée de l'immeuble_x000D_
Chemin : En sortant de l'immeuble, traversez : les containers sont en face_x000D_
Bacs : Gris (ordures ménagères) + Jaune (emballages, plastiques, papiers)</t>
        </is>
      </c>
      <c r="AT22" s="13" t="n">
        <v>600</v>
      </c>
      <c r="AU22" s="13" t="inlineStr">
        <is>
          <t>Balnéo</t>
        </is>
      </c>
      <c r="AV22" s="24" t="inlineStr">
        <is>
          <t>À définir</t>
        </is>
      </c>
      <c r="AW22" s="24" t="inlineStr">
        <is>
          <t>À définir</t>
        </is>
      </c>
      <c r="AX22" s="13" t="inlineStr">
        <is>
          <t>—</t>
        </is>
      </c>
      <c r="AY22" s="27" t="inlineStr">
        <is>
          <t>OUI</t>
        </is>
      </c>
      <c r="AZ22" s="28" t="n">
        <v>20</v>
      </c>
      <c r="BA22" t="inlineStr">
        <is>
          <t>https://claudine-design.github.io/enquete-berck/checklist-menage/?appart=rotonde</t>
        </is>
      </c>
      <c r="BB22" s="61" t="inlineStr">
        <is>
          <t>https://www.airbnb.fr/rooms/1616630438837889427</t>
        </is>
      </c>
      <c r="BC22" s="61" t="inlineStr">
        <is>
          <t>https://www.booking.com/hotel/fr/la-rotonde-du-bien-etre-150m-plage-coeur-de-berck.fr.html</t>
        </is>
      </c>
      <c r="BD22" s="35" t="n">
        <v>4.85</v>
      </c>
      <c r="BE22" s="32" t="n">
        <v>13</v>
      </c>
      <c r="BF22" s="32" t="n">
        <v>5</v>
      </c>
      <c r="BG22" s="32" t="n">
        <v>1</v>
      </c>
      <c r="BH22" s="32">
        <f>IF(AND(ISNUMBER(BD22),BD22&gt;=4.9),20,0)+IF(AND(ISNUMBER(BF22),BF22&gt;=9.0),20,0)</f>
        <v/>
      </c>
    </row>
    <row r="23" ht="62.5" customHeight="1">
      <c r="A23" s="21" t="n">
        <v>22</v>
      </c>
      <c r="B23" s="21" t="inlineStr">
        <is>
          <t>patio</t>
        </is>
      </c>
      <c r="C23" s="21" t="inlineStr">
        <is>
          <t>Patio</t>
        </is>
      </c>
      <c r="D23" s="21" t="inlineStr">
        <is>
          <t>Patio Romantique Chic</t>
        </is>
      </c>
      <c r="E23" s="21" t="inlineStr">
        <is>
          <t>Rue Jeanne, 62600 Berck</t>
        </is>
      </c>
      <c r="F23" s="21" t="inlineStr">
        <is>
          <t>Rue Jeanne</t>
        </is>
      </c>
      <c r="G23" s="2" t="inlineStr">
        <is>
          <t>jeanne</t>
        </is>
      </c>
      <c r="H23" s="2" t="inlineStr">
        <is>
          <t>Appartement</t>
        </is>
      </c>
      <c r="I23" s="3" t="inlineStr">
        <is>
          <t>47 m²</t>
        </is>
      </c>
      <c r="J23" s="3" t="inlineStr">
        <is>
          <t>6 couchages · chambre 1: 160×200 · chambre 2: 2×(90×190) · canapé 140×190</t>
        </is>
      </c>
      <c r="K23" s="3" t="inlineStr">
        <is>
          <t>RDC</t>
        </is>
      </c>
      <c r="L23" s="3" t="inlineStr">
        <is>
          <t>Non</t>
        </is>
      </c>
      <c r="M23" s="3" t="inlineStr">
        <is>
          <t>Dans la rue + parking stade gratuit</t>
        </is>
      </c>
      <c r="N23" s="4" t="inlineStr">
        <is>
          <t>Voir la vidéo</t>
        </is>
      </c>
      <c r="O23" s="4" t="inlineStr">
        <is>
          <t>Voir la vidéo</t>
        </is>
      </c>
      <c r="P23" s="5" t="inlineStr">
        <is>
          <t>Vitro-céramique</t>
        </is>
      </c>
      <c r="Q23" s="5" t="inlineStr">
        <is>
          <t>Compartiment freezer</t>
        </is>
      </c>
      <c r="R23" s="5" t="inlineStr">
        <is>
          <t>Senseo + filtre</t>
        </is>
      </c>
      <c r="S23" s="5" t="inlineStr">
        <is>
          <t>Oui</t>
        </is>
      </c>
      <c r="T23" s="5" t="inlineStr">
        <is>
          <t>Oui</t>
        </is>
      </c>
      <c r="U23" s="5" t="inlineStr">
        <is>
          <t>Oui (assiettes, verres, casserole, poêle, plat à tarte)</t>
        </is>
      </c>
      <c r="V23" s="6" t="inlineStr">
        <is>
          <t>Oui (hypoallergénique, OK enfants)</t>
        </is>
      </c>
      <c r="W23" s="6" t="inlineStr">
        <is>
          <t>Oui</t>
        </is>
      </c>
      <c r="X23" s="6" t="inlineStr">
        <is>
          <t>Oui</t>
        </is>
      </c>
      <c r="Y23" s="6" t="inlineStr">
        <is>
          <t>Oui</t>
        </is>
      </c>
      <c r="Z23" s="6" t="inlineStr">
        <is>
          <t>Oui</t>
        </is>
      </c>
      <c r="AA23" s="22" t="inlineStr">
        <is>
          <t>Cetana (2 places face à face)</t>
        </is>
      </c>
      <c r="AB23" s="3" t="inlineStr">
        <is>
          <t>Non</t>
        </is>
      </c>
      <c r="AC23" s="3" t="inlineStr">
        <is>
          <t>Oui (patio)</t>
        </is>
      </c>
      <c r="AD23" s="3" t="inlineStr">
        <is>
          <t>Oui</t>
        </is>
      </c>
      <c r="AE23" s="3" t="inlineStr">
        <is>
          <t>Non</t>
        </is>
      </c>
      <c r="AF23" s="3" t="inlineStr">
        <is>
          <t>Molotov standard</t>
        </is>
      </c>
      <c r="AG23" s="3" t="n">
        <v>1</v>
      </c>
      <c r="AH23" s="7" t="inlineStr">
        <is>
          <t>Patio23</t>
        </is>
      </c>
      <c r="AI23" s="7" t="inlineStr">
        <is>
          <t>23Patio23</t>
        </is>
      </c>
      <c r="AJ23" s="8" t="n">
        <v>20</v>
      </c>
      <c r="AK23" s="8" t="inlineStr">
        <is>
          <t>Oui</t>
        </is>
      </c>
      <c r="AL23" s="8" t="inlineStr">
        <is>
          <t>Oui</t>
        </is>
      </c>
      <c r="AM23" s="8" t="inlineStr">
        <is>
          <t>Oui (sur demande)</t>
        </is>
      </c>
      <c r="AN23" s="8" t="inlineStr">
        <is>
          <t>Non</t>
        </is>
      </c>
      <c r="AO23" s="9" t="inlineStr">
        <is>
          <t>Non</t>
        </is>
      </c>
      <c r="AP23" s="9" t="inlineStr">
        <is>
          <t>Christelle</t>
        </is>
      </c>
      <c r="AQ23" s="9" t="inlineStr">
        <is>
          <t>SAS Maréchal Invest</t>
        </is>
      </c>
      <c r="AR23" s="9" t="n">
        <v>6</v>
      </c>
      <c r="AS23" s="10" t="inlineStr">
        <is>
          <t>Lieu : Poubelles juste en face de l'entrée de l'immeuble_x000D_
Chemin : En sortant de l'immeuble, traversez : les containers sont en face_x000D_
Bacs : Gris (ordures ménagères) + Jaune (emballages, plastiques, papiers)</t>
        </is>
      </c>
      <c r="AT23" s="13" t="n">
        <v>600</v>
      </c>
      <c r="AU23" s="13" t="inlineStr">
        <is>
          <t>Balnéo</t>
        </is>
      </c>
      <c r="AV23" s="24" t="inlineStr">
        <is>
          <t>À définir</t>
        </is>
      </c>
      <c r="AW23" s="24" t="inlineStr">
        <is>
          <t>À définir</t>
        </is>
      </c>
      <c r="AX23" s="13" t="inlineStr">
        <is>
          <t>—</t>
        </is>
      </c>
      <c r="AY23" s="27" t="inlineStr">
        <is>
          <t>OUI</t>
        </is>
      </c>
      <c r="AZ23" s="28" t="n">
        <v>20</v>
      </c>
      <c r="BA23" t="inlineStr">
        <is>
          <t>https://claudine-design.github.io/enquete-berck/checklist-menage/?appart=patio</t>
        </is>
      </c>
      <c r="BB23" s="61" t="inlineStr">
        <is>
          <t>https://www.airbnb.fr/rooms/1480628708594103144</t>
        </is>
      </c>
      <c r="BC23" s="61" t="inlineStr">
        <is>
          <t>https://www.booking.com/hotel/fr/romantique-chic-150m-plage-patio.fr.html</t>
        </is>
      </c>
      <c r="BD23" s="32" t="n">
        <v>5</v>
      </c>
      <c r="BE23" s="32" t="n">
        <v>26</v>
      </c>
      <c r="BF23" s="33" t="n">
        <v>9</v>
      </c>
      <c r="BG23" s="32" t="n">
        <v>12</v>
      </c>
      <c r="BH23" s="33">
        <f>IF(AND(ISNUMBER(BD23),BD23&gt;=4.9),20,0)+IF(AND(ISNUMBER(BF23),BF23&gt;=9.0),20,0)</f>
        <v/>
      </c>
    </row>
    <row r="25">
      <c r="A25" s="36" t="inlineStr">
        <is>
          <t>📝 Note primes mai 2026 :</t>
        </is>
      </c>
      <c r="B25" s="37" t="inlineStr">
        <is>
          <t>Seuils : Airbnb ≥ 4.9/5 = 20 € · Booking ≥ 9.0/10 = 20 € · cumul possible. Date scan : 2026-05-19. Note = score global affiché sur l'annonce.</t>
        </is>
      </c>
    </row>
    <row r="27" ht="200" customHeight="1">
      <c r="A27" s="36" t="inlineStr">
        <is>
          <t>⚠️ Listings non mappés :</t>
        </is>
      </c>
      <c r="B27" s="38" t="inlineStr">
        <is>
          <t>Listings Airbnb à matcher manuellement (apparts non encore liés à un slug) :
• 1395729680157024554 'Romantique Face Mer' ★ 4,91 (33) — 2 Av Marianne Toute Seule — PRIME (cherche Mini/Grande Love Room ?)
• 1052856835096858895 'Hamac chic vue mer' ★ 4,72 (71) — 133 10 Av Marianne
• 856476288197321310 'Hamac FACE MER' (0 avis) — 45 Esplanade maritime
• 50917813 'VUE MER 100m plage design SURF' ★ 4,8 (83)
• 1134120790255289024 'Suite Romantique Face mer' ★ 4,76 (204)
• 1591467726367391456 'Face mer Exceptionnel Parking 4 pers' ★ 4,0 (2)
• 1136655909198126906 'Face Mer Panoramique 2 chambres' ★ 4,76 (82)
• 1616165051672596903 'Parking Balneo Garden' ★ 3,5 (2)
Listings Booking orphelins :
• romantique-face-mer ★ 8,9 (37) — pair de 1395729680157024554
• hamac-chic-vue-mer ★ 8,7 (57)
• hamac-face-mer ★ 8,8 (62)
• face-mer-parking-rez-de-chausse ★ 8,7 (52)</t>
        </is>
      </c>
    </row>
  </sheetData>
  <autoFilter ref="A1:AZ1"/>
  <conditionalFormatting sqref="AV2:AW23">
    <cfRule type="cellIs" priority="1" operator="equal" dxfId="4" stopIfTrue="1">
      <formula>"""Oui"""</formula>
    </cfRule>
    <cfRule type="cellIs" priority="2" operator="equal" dxfId="4" stopIfTrue="1">
      <formula>"""OUI"""</formula>
    </cfRule>
    <cfRule type="cellIs" priority="3" operator="equal" dxfId="2" stopIfTrue="1">
      <formula>"""Non"""</formula>
    </cfRule>
    <cfRule type="cellIs" priority="4" operator="equal" dxfId="2" stopIfTrue="1">
      <formula>"""NON"""</formula>
    </cfRule>
    <cfRule type="cellIs" priority="5" operator="equal" dxfId="1" stopIfTrue="1">
      <formula>15</formula>
    </cfRule>
    <cfRule type="cellIs" priority="6" operator="equal" dxfId="0" stopIfTrue="1">
      <formula>20</formula>
    </cfRule>
  </conditionalFormatting>
  <hyperlinks>
    <hyperlink xmlns:r="http://schemas.openxmlformats.org/officeDocument/2006/relationships" ref="N2" tooltip="Cliquer pour voir la vidéo" r:id="rId1"/>
    <hyperlink xmlns:r="http://schemas.openxmlformats.org/officeDocument/2006/relationships" ref="O2" tooltip="Cliquer pour voir la vidéo" r:id="rId2"/>
    <hyperlink xmlns:r="http://schemas.openxmlformats.org/officeDocument/2006/relationships" ref="BB2" r:id="rId3"/>
    <hyperlink xmlns:r="http://schemas.openxmlformats.org/officeDocument/2006/relationships" ref="BC2" r:id="rId4"/>
    <hyperlink xmlns:r="http://schemas.openxmlformats.org/officeDocument/2006/relationships" ref="N3" tooltip="Cliquer pour voir la vidéo" r:id="rId5"/>
    <hyperlink xmlns:r="http://schemas.openxmlformats.org/officeDocument/2006/relationships" ref="O3" tooltip="Cliquer pour voir la vidéo" r:id="rId6"/>
    <hyperlink xmlns:r="http://schemas.openxmlformats.org/officeDocument/2006/relationships" ref="BB3" r:id="rId7"/>
    <hyperlink xmlns:r="http://schemas.openxmlformats.org/officeDocument/2006/relationships" ref="BC3" r:id="rId8"/>
    <hyperlink xmlns:r="http://schemas.openxmlformats.org/officeDocument/2006/relationships" ref="N4" tooltip="Cliquer pour voir la vidéo" r:id="rId9"/>
    <hyperlink xmlns:r="http://schemas.openxmlformats.org/officeDocument/2006/relationships" ref="O4" tooltip="Cliquer pour voir la vidéo" r:id="rId10"/>
    <hyperlink xmlns:r="http://schemas.openxmlformats.org/officeDocument/2006/relationships" ref="BB4" r:id="rId11"/>
    <hyperlink xmlns:r="http://schemas.openxmlformats.org/officeDocument/2006/relationships" ref="BC4" r:id="rId12"/>
    <hyperlink xmlns:r="http://schemas.openxmlformats.org/officeDocument/2006/relationships" ref="O5" tooltip="Cliquer pour voir la vidéo" r:id="rId13"/>
    <hyperlink xmlns:r="http://schemas.openxmlformats.org/officeDocument/2006/relationships" ref="BB5" r:id="rId14"/>
    <hyperlink xmlns:r="http://schemas.openxmlformats.org/officeDocument/2006/relationships" ref="BC5" r:id="rId15"/>
    <hyperlink xmlns:r="http://schemas.openxmlformats.org/officeDocument/2006/relationships" ref="O6" tooltip="Cliquer pour voir la vidéo" r:id="rId16"/>
    <hyperlink xmlns:r="http://schemas.openxmlformats.org/officeDocument/2006/relationships" ref="N7" tooltip="Cliquer pour voir la vidéo" r:id="rId17"/>
    <hyperlink xmlns:r="http://schemas.openxmlformats.org/officeDocument/2006/relationships" ref="O7" tooltip="Cliquer pour voir la vidéo" r:id="rId18"/>
    <hyperlink xmlns:r="http://schemas.openxmlformats.org/officeDocument/2006/relationships" ref="BB7" r:id="rId19"/>
    <hyperlink xmlns:r="http://schemas.openxmlformats.org/officeDocument/2006/relationships" ref="O8" tooltip="Cliquer pour voir la vidéo" r:id="rId20"/>
    <hyperlink xmlns:r="http://schemas.openxmlformats.org/officeDocument/2006/relationships" ref="BB8" r:id="rId21"/>
    <hyperlink xmlns:r="http://schemas.openxmlformats.org/officeDocument/2006/relationships" ref="BC8" r:id="rId22"/>
    <hyperlink xmlns:r="http://schemas.openxmlformats.org/officeDocument/2006/relationships" ref="O9" tooltip="Cliquer pour voir la vidéo" r:id="rId23"/>
    <hyperlink xmlns:r="http://schemas.openxmlformats.org/officeDocument/2006/relationships" ref="BB9" r:id="rId24"/>
    <hyperlink xmlns:r="http://schemas.openxmlformats.org/officeDocument/2006/relationships" ref="BC9" r:id="rId25"/>
    <hyperlink xmlns:r="http://schemas.openxmlformats.org/officeDocument/2006/relationships" ref="N10" tooltip="Cliquer pour voir la vidéo" r:id="rId26"/>
    <hyperlink xmlns:r="http://schemas.openxmlformats.org/officeDocument/2006/relationships" ref="O10" tooltip="Cliquer pour voir la vidéo" r:id="rId27"/>
    <hyperlink xmlns:r="http://schemas.openxmlformats.org/officeDocument/2006/relationships" ref="BB10" r:id="rId28"/>
    <hyperlink xmlns:r="http://schemas.openxmlformats.org/officeDocument/2006/relationships" ref="BC10" r:id="rId29"/>
    <hyperlink xmlns:r="http://schemas.openxmlformats.org/officeDocument/2006/relationships" ref="O11" tooltip="Cliquer pour voir la vidéo" r:id="rId30"/>
    <hyperlink xmlns:r="http://schemas.openxmlformats.org/officeDocument/2006/relationships" ref="BB11" r:id="rId31"/>
    <hyperlink xmlns:r="http://schemas.openxmlformats.org/officeDocument/2006/relationships" ref="BC11" r:id="rId32"/>
    <hyperlink xmlns:r="http://schemas.openxmlformats.org/officeDocument/2006/relationships" ref="N12" tooltip="Cliquer pour voir la vidéo" r:id="rId33"/>
    <hyperlink xmlns:r="http://schemas.openxmlformats.org/officeDocument/2006/relationships" ref="O12" tooltip="Cliquer pour voir la vidéo" r:id="rId34"/>
    <hyperlink xmlns:r="http://schemas.openxmlformats.org/officeDocument/2006/relationships" ref="BB12" r:id="rId35"/>
    <hyperlink xmlns:r="http://schemas.openxmlformats.org/officeDocument/2006/relationships" ref="BC12" r:id="rId36"/>
    <hyperlink xmlns:r="http://schemas.openxmlformats.org/officeDocument/2006/relationships" ref="N13" tooltip="Cliquer pour voir la vidéo" r:id="rId37"/>
    <hyperlink xmlns:r="http://schemas.openxmlformats.org/officeDocument/2006/relationships" ref="O13" tooltip="Cliquer pour voir la vidéo" r:id="rId38"/>
    <hyperlink xmlns:r="http://schemas.openxmlformats.org/officeDocument/2006/relationships" ref="O14" tooltip="Cliquer pour voir la vidéo" r:id="rId39"/>
    <hyperlink xmlns:r="http://schemas.openxmlformats.org/officeDocument/2006/relationships" ref="BB14" r:id="rId40"/>
    <hyperlink xmlns:r="http://schemas.openxmlformats.org/officeDocument/2006/relationships" ref="O15" tooltip="Cliquer pour voir la vidéo" r:id="rId41"/>
    <hyperlink xmlns:r="http://schemas.openxmlformats.org/officeDocument/2006/relationships" ref="BB15" r:id="rId42"/>
    <hyperlink xmlns:r="http://schemas.openxmlformats.org/officeDocument/2006/relationships" ref="BC15" r:id="rId43"/>
    <hyperlink xmlns:r="http://schemas.openxmlformats.org/officeDocument/2006/relationships" ref="O16" tooltip="Cliquer pour voir la vidéo" r:id="rId44"/>
    <hyperlink xmlns:r="http://schemas.openxmlformats.org/officeDocument/2006/relationships" ref="N17" tooltip="Cliquer pour voir la vidéo" r:id="rId45"/>
    <hyperlink xmlns:r="http://schemas.openxmlformats.org/officeDocument/2006/relationships" ref="O17" tooltip="Cliquer pour voir la vidéo" r:id="rId46"/>
    <hyperlink xmlns:r="http://schemas.openxmlformats.org/officeDocument/2006/relationships" ref="BB17" r:id="rId47"/>
    <hyperlink xmlns:r="http://schemas.openxmlformats.org/officeDocument/2006/relationships" ref="BC17" r:id="rId48"/>
    <hyperlink xmlns:r="http://schemas.openxmlformats.org/officeDocument/2006/relationships" ref="N18" tooltip="Cliquer pour voir la vidéo" r:id="rId49"/>
    <hyperlink xmlns:r="http://schemas.openxmlformats.org/officeDocument/2006/relationships" ref="O18" tooltip="Cliquer pour voir la vidéo" r:id="rId50"/>
    <hyperlink xmlns:r="http://schemas.openxmlformats.org/officeDocument/2006/relationships" ref="BB18" r:id="rId51"/>
    <hyperlink xmlns:r="http://schemas.openxmlformats.org/officeDocument/2006/relationships" ref="BC18" r:id="rId52"/>
    <hyperlink xmlns:r="http://schemas.openxmlformats.org/officeDocument/2006/relationships" ref="O19" tooltip="Cliquer pour voir la vidéo" r:id="rId53"/>
    <hyperlink xmlns:r="http://schemas.openxmlformats.org/officeDocument/2006/relationships" ref="BB19" r:id="rId54"/>
    <hyperlink xmlns:r="http://schemas.openxmlformats.org/officeDocument/2006/relationships" ref="BC19" r:id="rId55"/>
    <hyperlink xmlns:r="http://schemas.openxmlformats.org/officeDocument/2006/relationships" ref="N20" tooltip="Cliquer pour voir la vidéo" r:id="rId56"/>
    <hyperlink xmlns:r="http://schemas.openxmlformats.org/officeDocument/2006/relationships" ref="O20" tooltip="Cliquer pour voir la vidéo" r:id="rId57"/>
    <hyperlink xmlns:r="http://schemas.openxmlformats.org/officeDocument/2006/relationships" ref="BB20" r:id="rId58"/>
    <hyperlink xmlns:r="http://schemas.openxmlformats.org/officeDocument/2006/relationships" ref="BC20" r:id="rId59"/>
    <hyperlink xmlns:r="http://schemas.openxmlformats.org/officeDocument/2006/relationships" ref="N21" tooltip="Cliquer pour voir la vidéo" r:id="rId60"/>
    <hyperlink xmlns:r="http://schemas.openxmlformats.org/officeDocument/2006/relationships" ref="O21" tooltip="Cliquer pour voir la vidéo" r:id="rId61"/>
    <hyperlink xmlns:r="http://schemas.openxmlformats.org/officeDocument/2006/relationships" ref="BB21" r:id="rId62"/>
    <hyperlink xmlns:r="http://schemas.openxmlformats.org/officeDocument/2006/relationships" ref="BC21" r:id="rId63"/>
    <hyperlink xmlns:r="http://schemas.openxmlformats.org/officeDocument/2006/relationships" ref="O22" tooltip="Cliquer pour voir la vidéo" r:id="rId64"/>
    <hyperlink xmlns:r="http://schemas.openxmlformats.org/officeDocument/2006/relationships" ref="BB22" r:id="rId65"/>
    <hyperlink xmlns:r="http://schemas.openxmlformats.org/officeDocument/2006/relationships" ref="BC22" r:id="rId66"/>
    <hyperlink xmlns:r="http://schemas.openxmlformats.org/officeDocument/2006/relationships" ref="N23" tooltip="Cliquer pour voir la vidéo" r:id="rId67"/>
    <hyperlink xmlns:r="http://schemas.openxmlformats.org/officeDocument/2006/relationships" ref="O23" tooltip="Cliquer pour voir la vidéo" r:id="rId68"/>
    <hyperlink xmlns:r="http://schemas.openxmlformats.org/officeDocument/2006/relationships" ref="BB23" r:id="rId69"/>
    <hyperlink xmlns:r="http://schemas.openxmlformats.org/officeDocument/2006/relationships" ref="BC23" r:id="rId7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14" customWidth="1" min="4" max="4"/>
    <col width="14" customWidth="1" min="5" max="5"/>
  </cols>
  <sheetData>
    <row r="1">
      <c r="A1" s="62" t="inlineStr">
        <is>
          <t>Slug</t>
        </is>
      </c>
      <c r="B1" s="62" t="inlineStr">
        <is>
          <t>Nom</t>
        </is>
      </c>
      <c r="C1" s="62" t="inlineStr">
        <is>
          <t>Prestataire</t>
        </is>
      </c>
      <c r="D1" s="62" t="inlineStr">
        <is>
          <t>2026-05 Airbnb</t>
        </is>
      </c>
      <c r="E1" s="62" t="inlineStr">
        <is>
          <t>2026-05 Booking</t>
        </is>
      </c>
    </row>
    <row r="2">
      <c r="A2" t="inlineStr">
        <is>
          <t>kitesurf</t>
        </is>
      </c>
      <c r="B2" t="inlineStr">
        <is>
          <t>Kitesurf</t>
        </is>
      </c>
      <c r="C2" t="inlineStr">
        <is>
          <t>Rémi</t>
        </is>
      </c>
      <c r="D2" t="n">
        <v>4.78</v>
      </c>
      <c r="E2" t="n">
        <v>9</v>
      </c>
    </row>
    <row r="3">
      <c r="A3" t="inlineStr">
        <is>
          <t>hamac</t>
        </is>
      </c>
      <c r="B3" t="inlineStr">
        <is>
          <t>Hamac</t>
        </is>
      </c>
      <c r="C3" t="inlineStr">
        <is>
          <t>Rémi</t>
        </is>
      </c>
      <c r="D3" t="n">
        <v>4.81</v>
      </c>
      <c r="E3" t="n">
        <v>8.5</v>
      </c>
    </row>
    <row r="4">
      <c r="A4" t="inlineStr">
        <is>
          <t>paddle</t>
        </is>
      </c>
      <c r="B4" t="inlineStr">
        <is>
          <t>Paddle</t>
        </is>
      </c>
      <c r="C4" t="inlineStr">
        <is>
          <t>Rémi</t>
        </is>
      </c>
      <c r="D4" t="n">
        <v>4.8</v>
      </c>
      <c r="E4" t="n">
        <v>8.9</v>
      </c>
    </row>
    <row r="5">
      <c r="A5" t="inlineStr">
        <is>
          <t>surf</t>
        </is>
      </c>
      <c r="B5" t="inlineStr">
        <is>
          <t>Surf</t>
        </is>
      </c>
      <c r="C5" t="inlineStr">
        <is>
          <t>À définir</t>
        </is>
      </c>
      <c r="D5" t="n">
        <v>4.73</v>
      </c>
      <c r="E5" t="n">
        <v>8.1</v>
      </c>
    </row>
    <row r="6">
      <c r="A6" t="inlineStr">
        <is>
          <t>famille</t>
        </is>
      </c>
      <c r="B6" t="inlineStr">
        <is>
          <t>Famille</t>
        </is>
      </c>
      <c r="C6" t="inlineStr">
        <is>
          <t>À définir</t>
        </is>
      </c>
    </row>
    <row r="7">
      <c r="A7" t="inlineStr">
        <is>
          <t>balneo</t>
        </is>
      </c>
      <c r="B7" t="inlineStr">
        <is>
          <t>Balnéo</t>
        </is>
      </c>
      <c r="C7" t="inlineStr">
        <is>
          <t>Clara</t>
        </is>
      </c>
      <c r="D7" t="n">
        <v>3.5</v>
      </c>
      <c r="E7" t="n">
        <v>9.300000000000001</v>
      </c>
    </row>
    <row r="8">
      <c r="A8" t="inlineStr">
        <is>
          <t>cocon</t>
        </is>
      </c>
      <c r="B8" t="inlineStr">
        <is>
          <t>Cocon Romantique</t>
        </is>
      </c>
      <c r="C8" t="inlineStr">
        <is>
          <t>Clara</t>
        </is>
      </c>
      <c r="E8" t="n">
        <v>9.199999999999999</v>
      </c>
    </row>
    <row r="9">
      <c r="A9" t="inlineStr">
        <is>
          <t>terrasse</t>
        </is>
      </c>
      <c r="B9" t="inlineStr">
        <is>
          <t>Terrasse</t>
        </is>
      </c>
      <c r="C9" t="inlineStr">
        <is>
          <t>Christelle</t>
        </is>
      </c>
      <c r="D9" t="n">
        <v>4.82</v>
      </c>
      <c r="E9" t="n">
        <v>8.1</v>
      </c>
    </row>
    <row r="10">
      <c r="A10" t="inlineStr">
        <is>
          <t>maisonnette</t>
        </is>
      </c>
      <c r="B10" t="inlineStr">
        <is>
          <t>Maisonnette</t>
        </is>
      </c>
      <c r="C10" t="inlineStr">
        <is>
          <t>Christelle</t>
        </is>
      </c>
      <c r="D10" t="n">
        <v>4.29</v>
      </c>
      <c r="E10" t="n">
        <v>8.300000000000001</v>
      </c>
    </row>
    <row r="11">
      <c r="A11" t="inlineStr">
        <is>
          <t>facemer</t>
        </is>
      </c>
      <c r="B11" t="inlineStr">
        <is>
          <t>Face Mer</t>
        </is>
      </c>
      <c r="C11" t="inlineStr">
        <is>
          <t>Christelle</t>
        </is>
      </c>
      <c r="D11" t="n">
        <v>4.89</v>
      </c>
      <c r="E11" t="n">
        <v>8.9</v>
      </c>
    </row>
    <row r="12">
      <c r="A12" t="inlineStr">
        <is>
          <t>grandlarge</t>
        </is>
      </c>
      <c r="B12" t="inlineStr">
        <is>
          <t>Grand Large</t>
        </is>
      </c>
      <c r="C12" t="inlineStr">
        <is>
          <t>Christelle</t>
        </is>
      </c>
      <c r="E12" t="n">
        <v>8.800000000000001</v>
      </c>
    </row>
    <row r="13">
      <c r="A13" t="inlineStr">
        <is>
          <t>apolove</t>
        </is>
      </c>
      <c r="B13" t="inlineStr">
        <is>
          <t>Apolove</t>
        </is>
      </c>
      <c r="C13" t="inlineStr">
        <is>
          <t>Clara</t>
        </is>
      </c>
      <c r="E13" t="n">
        <v>8.9</v>
      </c>
    </row>
    <row r="14">
      <c r="A14" t="inlineStr">
        <is>
          <t>apollo</t>
        </is>
      </c>
      <c r="B14" t="inlineStr">
        <is>
          <t>Apollo</t>
        </is>
      </c>
      <c r="C14" t="inlineStr">
        <is>
          <t>Clara</t>
        </is>
      </c>
      <c r="D14" t="n">
        <v>4.76</v>
      </c>
      <c r="E14" t="n">
        <v>8.1</v>
      </c>
    </row>
    <row r="15">
      <c r="A15" t="inlineStr">
        <is>
          <t>kingston</t>
        </is>
      </c>
      <c r="B15" t="inlineStr">
        <is>
          <t>Kingston</t>
        </is>
      </c>
      <c r="C15" t="inlineStr">
        <is>
          <t>Clara</t>
        </is>
      </c>
      <c r="D15" t="n">
        <v>4</v>
      </c>
      <c r="E15" t="n">
        <v>8.699999999999999</v>
      </c>
    </row>
    <row r="16">
      <c r="A16" t="inlineStr">
        <is>
          <t>reserve</t>
        </is>
      </c>
      <c r="B16" t="inlineStr">
        <is>
          <t>La Réserve</t>
        </is>
      </c>
      <c r="C16" t="inlineStr">
        <is>
          <t>Clara</t>
        </is>
      </c>
    </row>
    <row r="17">
      <c r="A17" t="inlineStr">
        <is>
          <t>albatros</t>
        </is>
      </c>
      <c r="B17" t="inlineStr">
        <is>
          <t>Albatros</t>
        </is>
      </c>
      <c r="C17" t="inlineStr">
        <is>
          <t>Clara</t>
        </is>
      </c>
      <c r="D17" t="n">
        <v>4.72</v>
      </c>
      <c r="E17" t="n">
        <v>8.699999999999999</v>
      </c>
    </row>
    <row r="18">
      <c r="A18" t="inlineStr">
        <is>
          <t>miniloveroom</t>
        </is>
      </c>
      <c r="B18" t="inlineStr">
        <is>
          <t>Mini Love Room</t>
        </is>
      </c>
      <c r="C18" t="inlineStr">
        <is>
          <t>Christelle</t>
        </is>
      </c>
      <c r="D18" t="n">
        <v>4.83</v>
      </c>
      <c r="E18" t="n">
        <v>8.199999999999999</v>
      </c>
    </row>
    <row r="19">
      <c r="A19" t="inlineStr">
        <is>
          <t>grandeloveroom</t>
        </is>
      </c>
      <c r="B19" t="inlineStr">
        <is>
          <t>Grande Love Room</t>
        </is>
      </c>
      <c r="C19" t="inlineStr">
        <is>
          <t>Christelle</t>
        </is>
      </c>
      <c r="D19" t="n">
        <v>4.91</v>
      </c>
      <c r="E19" t="n">
        <v>8</v>
      </c>
    </row>
    <row r="20">
      <c r="A20" t="inlineStr">
        <is>
          <t>jeanne</t>
        </is>
      </c>
      <c r="B20" t="inlineStr">
        <is>
          <t>Jeanne</t>
        </is>
      </c>
      <c r="C20" t="inlineStr">
        <is>
          <t>Christelle</t>
        </is>
      </c>
      <c r="D20" t="n">
        <v>4.5</v>
      </c>
      <c r="E20" t="n">
        <v>8.6</v>
      </c>
    </row>
    <row r="21">
      <c r="A21" t="inlineStr">
        <is>
          <t>evasion</t>
        </is>
      </c>
      <c r="B21" t="inlineStr">
        <is>
          <t>Évasion</t>
        </is>
      </c>
      <c r="C21" t="inlineStr">
        <is>
          <t>Christelle</t>
        </is>
      </c>
      <c r="D21" t="n">
        <v>4.8</v>
      </c>
    </row>
    <row r="22">
      <c r="A22" t="inlineStr">
        <is>
          <t>rotonde</t>
        </is>
      </c>
      <c r="B22" t="inlineStr">
        <is>
          <t>Rotonde</t>
        </is>
      </c>
      <c r="C22" t="inlineStr">
        <is>
          <t>Christelle</t>
        </is>
      </c>
      <c r="D22" t="n">
        <v>4.85</v>
      </c>
      <c r="E22" t="n">
        <v>5</v>
      </c>
    </row>
    <row r="23">
      <c r="A23" t="inlineStr">
        <is>
          <t>patio</t>
        </is>
      </c>
      <c r="B23" t="inlineStr">
        <is>
          <t>Patio</t>
        </is>
      </c>
      <c r="C23" t="inlineStr">
        <is>
          <t>Christelle</t>
        </is>
      </c>
      <c r="D23" t="n">
        <v>5</v>
      </c>
      <c r="E23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claudine podvin</dc:creator>
  <dcterms:created xmlns:dcterms="http://purl.org/dc/terms/" xmlns:xsi="http://www.w3.org/2001/XMLSchema-instance" xsi:type="dcterms:W3CDTF">2026-04-28T20:23:55Z</dcterms:created>
  <dcterms:modified xmlns:dcterms="http://purl.org/dc/terms/" xmlns:xsi="http://www.w3.org/2001/XMLSchema-instance" xsi:type="dcterms:W3CDTF">2026-05-26T09:04:32Z</dcterms:modified>
  <cp:lastModifiedBy>claudine podvin</cp:lastModifiedBy>
</cp:coreProperties>
</file>